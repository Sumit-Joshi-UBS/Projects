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31D8215D-1CC4-4632-A999-2252A2235FEC}" xr6:coauthVersionLast="47" xr6:coauthVersionMax="47" xr10:uidLastSave="{00000000-0000-0000-0000-000000000000}"/>
  <bookViews>
    <workbookView xWindow="-108" yWindow="-108" windowWidth="23256" windowHeight="12456" activeTab="3" xr2:uid="{76D7A60A-1C7E-4EE0-9282-63251B31218A}"/>
  </bookViews>
  <sheets>
    <sheet name="Historical Data" sheetId="1" r:id="rId1"/>
    <sheet name="CAPM" sheetId="2" r:id="rId2"/>
    <sheet name="Risk&amp;Return" sheetId="4" r:id="rId3"/>
    <sheet name="ThreePF" sheetId="5" r:id="rId4"/>
    <sheet name="OtherPF" sheetId="6" r:id="rId5"/>
    <sheet name="Graph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G7" i="6"/>
  <c r="H7" i="6"/>
  <c r="I7" i="6"/>
  <c r="J7" i="6"/>
  <c r="K7" i="6"/>
  <c r="L7" i="6"/>
  <c r="M7" i="6"/>
  <c r="N7" i="6"/>
  <c r="O7" i="6"/>
  <c r="F8" i="6"/>
  <c r="G8" i="6"/>
  <c r="H8" i="6"/>
  <c r="I8" i="6"/>
  <c r="J8" i="6"/>
  <c r="K8" i="6"/>
  <c r="L8" i="6"/>
  <c r="M8" i="6"/>
  <c r="N8" i="6"/>
  <c r="O8" i="6"/>
  <c r="F9" i="6"/>
  <c r="G9" i="6"/>
  <c r="H9" i="6"/>
  <c r="I9" i="6"/>
  <c r="J9" i="6"/>
  <c r="K9" i="6"/>
  <c r="L9" i="6"/>
  <c r="M9" i="6"/>
  <c r="N9" i="6"/>
  <c r="O9" i="6"/>
  <c r="F10" i="6"/>
  <c r="G10" i="6"/>
  <c r="H10" i="6"/>
  <c r="I10" i="6"/>
  <c r="J10" i="6"/>
  <c r="K10" i="6"/>
  <c r="L10" i="6"/>
  <c r="M10" i="6"/>
  <c r="N10" i="6"/>
  <c r="O10" i="6"/>
  <c r="F11" i="6"/>
  <c r="G11" i="6"/>
  <c r="H11" i="6"/>
  <c r="I11" i="6"/>
  <c r="J11" i="6"/>
  <c r="K11" i="6"/>
  <c r="L11" i="6"/>
  <c r="M11" i="6"/>
  <c r="N11" i="6"/>
  <c r="O11" i="6"/>
  <c r="F12" i="6"/>
  <c r="G12" i="6"/>
  <c r="H12" i="6"/>
  <c r="I12" i="6"/>
  <c r="J12" i="6"/>
  <c r="K12" i="6"/>
  <c r="L12" i="6"/>
  <c r="M12" i="6"/>
  <c r="N12" i="6"/>
  <c r="O12" i="6"/>
  <c r="F13" i="6"/>
  <c r="G13" i="6"/>
  <c r="H13" i="6"/>
  <c r="I13" i="6"/>
  <c r="J13" i="6"/>
  <c r="K13" i="6"/>
  <c r="L13" i="6"/>
  <c r="M13" i="6"/>
  <c r="N13" i="6"/>
  <c r="O13" i="6"/>
  <c r="F14" i="6"/>
  <c r="G14" i="6"/>
  <c r="H14" i="6"/>
  <c r="I14" i="6"/>
  <c r="J14" i="6"/>
  <c r="K14" i="6"/>
  <c r="L14" i="6"/>
  <c r="M14" i="6"/>
  <c r="N14" i="6"/>
  <c r="O14" i="6"/>
  <c r="F15" i="6"/>
  <c r="G15" i="6"/>
  <c r="H15" i="6"/>
  <c r="I15" i="6"/>
  <c r="J15" i="6"/>
  <c r="K15" i="6"/>
  <c r="L15" i="6"/>
  <c r="M15" i="6"/>
  <c r="N15" i="6"/>
  <c r="O15" i="6"/>
  <c r="F16" i="6"/>
  <c r="G16" i="6"/>
  <c r="H16" i="6"/>
  <c r="I16" i="6"/>
  <c r="J16" i="6"/>
  <c r="K16" i="6"/>
  <c r="L16" i="6"/>
  <c r="M16" i="6"/>
  <c r="N16" i="6"/>
  <c r="O16" i="6"/>
  <c r="F17" i="6"/>
  <c r="G17" i="6"/>
  <c r="H17" i="6"/>
  <c r="I17" i="6"/>
  <c r="J17" i="6"/>
  <c r="K17" i="6"/>
  <c r="L17" i="6"/>
  <c r="M17" i="6"/>
  <c r="N17" i="6"/>
  <c r="O17" i="6"/>
  <c r="F18" i="6"/>
  <c r="G18" i="6"/>
  <c r="H18" i="6"/>
  <c r="I18" i="6"/>
  <c r="J18" i="6"/>
  <c r="K18" i="6"/>
  <c r="L18" i="6"/>
  <c r="M18" i="6"/>
  <c r="N18" i="6"/>
  <c r="O18" i="6"/>
  <c r="F19" i="6"/>
  <c r="G19" i="6"/>
  <c r="H19" i="6"/>
  <c r="I19" i="6"/>
  <c r="J19" i="6"/>
  <c r="K19" i="6"/>
  <c r="L19" i="6"/>
  <c r="M19" i="6"/>
  <c r="N19" i="6"/>
  <c r="O19" i="6"/>
  <c r="F20" i="6"/>
  <c r="G20" i="6"/>
  <c r="H20" i="6"/>
  <c r="I20" i="6"/>
  <c r="J20" i="6"/>
  <c r="K20" i="6"/>
  <c r="L20" i="6"/>
  <c r="M20" i="6"/>
  <c r="N20" i="6"/>
  <c r="O20" i="6"/>
  <c r="F21" i="6"/>
  <c r="G21" i="6"/>
  <c r="H21" i="6"/>
  <c r="I21" i="6"/>
  <c r="J21" i="6"/>
  <c r="K21" i="6"/>
  <c r="L21" i="6"/>
  <c r="M21" i="6"/>
  <c r="N21" i="6"/>
  <c r="O21" i="6"/>
  <c r="F22" i="6"/>
  <c r="G22" i="6"/>
  <c r="H22" i="6"/>
  <c r="I22" i="6"/>
  <c r="J22" i="6"/>
  <c r="K22" i="6"/>
  <c r="L22" i="6"/>
  <c r="M22" i="6"/>
  <c r="N22" i="6"/>
  <c r="O22" i="6"/>
  <c r="F23" i="6"/>
  <c r="G23" i="6"/>
  <c r="H23" i="6"/>
  <c r="I23" i="6"/>
  <c r="J23" i="6"/>
  <c r="K23" i="6"/>
  <c r="L23" i="6"/>
  <c r="M23" i="6"/>
  <c r="N23" i="6"/>
  <c r="O23" i="6"/>
  <c r="F24" i="6"/>
  <c r="G24" i="6"/>
  <c r="H24" i="6"/>
  <c r="I24" i="6"/>
  <c r="J24" i="6"/>
  <c r="K24" i="6"/>
  <c r="L24" i="6"/>
  <c r="M24" i="6"/>
  <c r="N24" i="6"/>
  <c r="O24" i="6"/>
  <c r="F25" i="6"/>
  <c r="G25" i="6"/>
  <c r="H25" i="6"/>
  <c r="I25" i="6"/>
  <c r="J25" i="6"/>
  <c r="K25" i="6"/>
  <c r="L25" i="6"/>
  <c r="M25" i="6"/>
  <c r="N25" i="6"/>
  <c r="O25" i="6"/>
  <c r="F26" i="6"/>
  <c r="G26" i="6"/>
  <c r="H26" i="6"/>
  <c r="I26" i="6"/>
  <c r="J26" i="6"/>
  <c r="K26" i="6"/>
  <c r="L26" i="6"/>
  <c r="M26" i="6"/>
  <c r="N26" i="6"/>
  <c r="O26" i="6"/>
  <c r="F27" i="6"/>
  <c r="G27" i="6"/>
  <c r="H27" i="6"/>
  <c r="I27" i="6"/>
  <c r="J27" i="6"/>
  <c r="K27" i="6"/>
  <c r="L27" i="6"/>
  <c r="M27" i="6"/>
  <c r="N27" i="6"/>
  <c r="O27" i="6"/>
  <c r="F28" i="6"/>
  <c r="G28" i="6"/>
  <c r="H28" i="6"/>
  <c r="I28" i="6"/>
  <c r="J28" i="6"/>
  <c r="K28" i="6"/>
  <c r="L28" i="6"/>
  <c r="M28" i="6"/>
  <c r="N28" i="6"/>
  <c r="O28" i="6"/>
  <c r="F29" i="6"/>
  <c r="G29" i="6"/>
  <c r="H29" i="6"/>
  <c r="I29" i="6"/>
  <c r="J29" i="6"/>
  <c r="K29" i="6"/>
  <c r="L29" i="6"/>
  <c r="M29" i="6"/>
  <c r="N29" i="6"/>
  <c r="O29" i="6"/>
  <c r="F30" i="6"/>
  <c r="G30" i="6"/>
  <c r="H30" i="6"/>
  <c r="I30" i="6"/>
  <c r="J30" i="6"/>
  <c r="K30" i="6"/>
  <c r="L30" i="6"/>
  <c r="M30" i="6"/>
  <c r="N30" i="6"/>
  <c r="O30" i="6"/>
  <c r="F31" i="6"/>
  <c r="G31" i="6"/>
  <c r="H31" i="6"/>
  <c r="I31" i="6"/>
  <c r="J31" i="6"/>
  <c r="K31" i="6"/>
  <c r="L31" i="6"/>
  <c r="M31" i="6"/>
  <c r="N31" i="6"/>
  <c r="O31" i="6"/>
  <c r="F32" i="6"/>
  <c r="G32" i="6"/>
  <c r="H32" i="6"/>
  <c r="I32" i="6"/>
  <c r="J32" i="6"/>
  <c r="K32" i="6"/>
  <c r="L32" i="6"/>
  <c r="M32" i="6"/>
  <c r="N32" i="6"/>
  <c r="O32" i="6"/>
  <c r="F33" i="6"/>
  <c r="G33" i="6"/>
  <c r="G258" i="6" s="1" a="1"/>
  <c r="G258" i="6" s="1"/>
  <c r="G259" i="6" s="1"/>
  <c r="H33" i="6"/>
  <c r="I33" i="6"/>
  <c r="J33" i="6"/>
  <c r="K33" i="6"/>
  <c r="L33" i="6"/>
  <c r="M33" i="6"/>
  <c r="N33" i="6"/>
  <c r="O33" i="6"/>
  <c r="F34" i="6"/>
  <c r="G34" i="6"/>
  <c r="H34" i="6"/>
  <c r="I34" i="6"/>
  <c r="J34" i="6"/>
  <c r="K34" i="6"/>
  <c r="L34" i="6"/>
  <c r="M34" i="6"/>
  <c r="N34" i="6"/>
  <c r="O34" i="6"/>
  <c r="F35" i="6"/>
  <c r="G35" i="6"/>
  <c r="H35" i="6"/>
  <c r="I35" i="6"/>
  <c r="J35" i="6"/>
  <c r="K35" i="6"/>
  <c r="L35" i="6"/>
  <c r="M35" i="6"/>
  <c r="N35" i="6"/>
  <c r="O35" i="6"/>
  <c r="F36" i="6"/>
  <c r="G36" i="6"/>
  <c r="H36" i="6"/>
  <c r="I36" i="6"/>
  <c r="J36" i="6"/>
  <c r="K36" i="6"/>
  <c r="L36" i="6"/>
  <c r="M36" i="6"/>
  <c r="N36" i="6"/>
  <c r="O36" i="6"/>
  <c r="F37" i="6"/>
  <c r="G37" i="6"/>
  <c r="H37" i="6"/>
  <c r="I37" i="6"/>
  <c r="J37" i="6"/>
  <c r="K37" i="6"/>
  <c r="L37" i="6"/>
  <c r="M37" i="6"/>
  <c r="N37" i="6"/>
  <c r="O37" i="6"/>
  <c r="F38" i="6"/>
  <c r="G38" i="6"/>
  <c r="H38" i="6"/>
  <c r="I38" i="6"/>
  <c r="J38" i="6"/>
  <c r="K38" i="6"/>
  <c r="L38" i="6"/>
  <c r="M38" i="6"/>
  <c r="N38" i="6"/>
  <c r="O38" i="6"/>
  <c r="F39" i="6"/>
  <c r="G39" i="6"/>
  <c r="H39" i="6"/>
  <c r="I39" i="6"/>
  <c r="J39" i="6"/>
  <c r="K39" i="6"/>
  <c r="L39" i="6"/>
  <c r="M39" i="6"/>
  <c r="N39" i="6"/>
  <c r="O39" i="6"/>
  <c r="F40" i="6"/>
  <c r="G40" i="6"/>
  <c r="H40" i="6"/>
  <c r="I40" i="6"/>
  <c r="J40" i="6"/>
  <c r="K40" i="6"/>
  <c r="L40" i="6"/>
  <c r="M40" i="6"/>
  <c r="N40" i="6"/>
  <c r="O40" i="6"/>
  <c r="F41" i="6"/>
  <c r="G41" i="6"/>
  <c r="H41" i="6"/>
  <c r="I41" i="6"/>
  <c r="J41" i="6"/>
  <c r="K41" i="6"/>
  <c r="L41" i="6"/>
  <c r="M41" i="6"/>
  <c r="N41" i="6"/>
  <c r="O41" i="6"/>
  <c r="F42" i="6"/>
  <c r="G42" i="6"/>
  <c r="H42" i="6"/>
  <c r="I42" i="6"/>
  <c r="J42" i="6"/>
  <c r="K42" i="6"/>
  <c r="L42" i="6"/>
  <c r="M42" i="6"/>
  <c r="N42" i="6"/>
  <c r="O42" i="6"/>
  <c r="F43" i="6"/>
  <c r="G43" i="6"/>
  <c r="H43" i="6"/>
  <c r="I43" i="6"/>
  <c r="J43" i="6"/>
  <c r="K43" i="6"/>
  <c r="L43" i="6"/>
  <c r="M43" i="6"/>
  <c r="N43" i="6"/>
  <c r="O43" i="6"/>
  <c r="F44" i="6"/>
  <c r="G44" i="6"/>
  <c r="H44" i="6"/>
  <c r="I44" i="6"/>
  <c r="J44" i="6"/>
  <c r="K44" i="6"/>
  <c r="L44" i="6"/>
  <c r="M44" i="6"/>
  <c r="N44" i="6"/>
  <c r="O44" i="6"/>
  <c r="F45" i="6"/>
  <c r="G45" i="6"/>
  <c r="H45" i="6"/>
  <c r="I45" i="6"/>
  <c r="J45" i="6"/>
  <c r="K45" i="6"/>
  <c r="L45" i="6"/>
  <c r="M45" i="6"/>
  <c r="N45" i="6"/>
  <c r="O45" i="6"/>
  <c r="F46" i="6"/>
  <c r="G46" i="6"/>
  <c r="H46" i="6"/>
  <c r="I46" i="6"/>
  <c r="J46" i="6"/>
  <c r="K46" i="6"/>
  <c r="L46" i="6"/>
  <c r="M46" i="6"/>
  <c r="N46" i="6"/>
  <c r="O46" i="6"/>
  <c r="F47" i="6"/>
  <c r="G47" i="6"/>
  <c r="H47" i="6"/>
  <c r="I47" i="6"/>
  <c r="J47" i="6"/>
  <c r="K47" i="6"/>
  <c r="L47" i="6"/>
  <c r="M47" i="6"/>
  <c r="N47" i="6"/>
  <c r="O47" i="6"/>
  <c r="F48" i="6"/>
  <c r="G48" i="6"/>
  <c r="H48" i="6"/>
  <c r="I48" i="6"/>
  <c r="I258" i="6" s="1" a="1"/>
  <c r="I258" i="6" s="1"/>
  <c r="I259" i="6" s="1"/>
  <c r="J48" i="6"/>
  <c r="K48" i="6"/>
  <c r="L48" i="6"/>
  <c r="M48" i="6"/>
  <c r="N48" i="6"/>
  <c r="O48" i="6"/>
  <c r="F49" i="6"/>
  <c r="G49" i="6"/>
  <c r="H49" i="6"/>
  <c r="I49" i="6"/>
  <c r="J49" i="6"/>
  <c r="K49" i="6"/>
  <c r="L49" i="6"/>
  <c r="M49" i="6"/>
  <c r="N49" i="6"/>
  <c r="O49" i="6"/>
  <c r="F50" i="6"/>
  <c r="G50" i="6"/>
  <c r="H50" i="6"/>
  <c r="I50" i="6"/>
  <c r="J50" i="6"/>
  <c r="K50" i="6"/>
  <c r="L50" i="6"/>
  <c r="M50" i="6"/>
  <c r="N50" i="6"/>
  <c r="O50" i="6"/>
  <c r="F51" i="6"/>
  <c r="G51" i="6"/>
  <c r="H51" i="6"/>
  <c r="I51" i="6"/>
  <c r="J51" i="6"/>
  <c r="K51" i="6"/>
  <c r="L51" i="6"/>
  <c r="M51" i="6"/>
  <c r="N51" i="6"/>
  <c r="O51" i="6"/>
  <c r="F52" i="6"/>
  <c r="G52" i="6"/>
  <c r="H52" i="6"/>
  <c r="I52" i="6"/>
  <c r="J52" i="6"/>
  <c r="K52" i="6"/>
  <c r="L52" i="6"/>
  <c r="M52" i="6"/>
  <c r="N52" i="6"/>
  <c r="O52" i="6"/>
  <c r="F53" i="6"/>
  <c r="G53" i="6"/>
  <c r="H53" i="6"/>
  <c r="I53" i="6"/>
  <c r="J53" i="6"/>
  <c r="K53" i="6"/>
  <c r="L53" i="6"/>
  <c r="M53" i="6"/>
  <c r="N53" i="6"/>
  <c r="O53" i="6"/>
  <c r="F54" i="6"/>
  <c r="G54" i="6"/>
  <c r="H54" i="6"/>
  <c r="I54" i="6"/>
  <c r="J54" i="6"/>
  <c r="K54" i="6"/>
  <c r="L54" i="6"/>
  <c r="M54" i="6"/>
  <c r="N54" i="6"/>
  <c r="O54" i="6"/>
  <c r="F55" i="6"/>
  <c r="G55" i="6"/>
  <c r="H55" i="6"/>
  <c r="I55" i="6"/>
  <c r="J55" i="6"/>
  <c r="K55" i="6"/>
  <c r="L55" i="6"/>
  <c r="M55" i="6"/>
  <c r="N55" i="6"/>
  <c r="O55" i="6"/>
  <c r="F56" i="6"/>
  <c r="G56" i="6"/>
  <c r="H56" i="6"/>
  <c r="I56" i="6"/>
  <c r="J56" i="6"/>
  <c r="K56" i="6"/>
  <c r="K258" i="6" s="1" a="1"/>
  <c r="K258" i="6" s="1"/>
  <c r="K259" i="6" s="1"/>
  <c r="L56" i="6"/>
  <c r="M56" i="6"/>
  <c r="N56" i="6"/>
  <c r="O56" i="6"/>
  <c r="F57" i="6"/>
  <c r="G57" i="6"/>
  <c r="H57" i="6"/>
  <c r="I57" i="6"/>
  <c r="J57" i="6"/>
  <c r="K57" i="6"/>
  <c r="L57" i="6"/>
  <c r="M57" i="6"/>
  <c r="N57" i="6"/>
  <c r="O57" i="6"/>
  <c r="F58" i="6"/>
  <c r="G58" i="6"/>
  <c r="H58" i="6"/>
  <c r="I58" i="6"/>
  <c r="J58" i="6"/>
  <c r="K58" i="6"/>
  <c r="L58" i="6"/>
  <c r="M58" i="6"/>
  <c r="N58" i="6"/>
  <c r="O58" i="6"/>
  <c r="F59" i="6"/>
  <c r="G59" i="6"/>
  <c r="H59" i="6"/>
  <c r="I59" i="6"/>
  <c r="J59" i="6"/>
  <c r="K59" i="6"/>
  <c r="L59" i="6"/>
  <c r="M59" i="6"/>
  <c r="N59" i="6"/>
  <c r="O59" i="6"/>
  <c r="F60" i="6"/>
  <c r="G60" i="6"/>
  <c r="H60" i="6"/>
  <c r="I60" i="6"/>
  <c r="J60" i="6"/>
  <c r="K60" i="6"/>
  <c r="L60" i="6"/>
  <c r="M60" i="6"/>
  <c r="N60" i="6"/>
  <c r="O60" i="6"/>
  <c r="F61" i="6"/>
  <c r="G61" i="6"/>
  <c r="H61" i="6"/>
  <c r="I61" i="6"/>
  <c r="J61" i="6"/>
  <c r="K61" i="6"/>
  <c r="L61" i="6"/>
  <c r="M61" i="6"/>
  <c r="N61" i="6"/>
  <c r="O61" i="6"/>
  <c r="F62" i="6"/>
  <c r="G62" i="6"/>
  <c r="H62" i="6"/>
  <c r="I62" i="6"/>
  <c r="J62" i="6"/>
  <c r="K62" i="6"/>
  <c r="L62" i="6"/>
  <c r="M62" i="6"/>
  <c r="N62" i="6"/>
  <c r="O62" i="6"/>
  <c r="F63" i="6"/>
  <c r="G63" i="6"/>
  <c r="H63" i="6"/>
  <c r="I63" i="6"/>
  <c r="J63" i="6"/>
  <c r="K63" i="6"/>
  <c r="L63" i="6"/>
  <c r="M63" i="6"/>
  <c r="M258" i="6" s="1" a="1"/>
  <c r="M258" i="6" s="1"/>
  <c r="M259" i="6" s="1"/>
  <c r="N63" i="6"/>
  <c r="O63" i="6"/>
  <c r="F64" i="6"/>
  <c r="G64" i="6"/>
  <c r="H64" i="6"/>
  <c r="I64" i="6"/>
  <c r="J64" i="6"/>
  <c r="K64" i="6"/>
  <c r="L64" i="6"/>
  <c r="M64" i="6"/>
  <c r="N64" i="6"/>
  <c r="O64" i="6"/>
  <c r="F65" i="6"/>
  <c r="G65" i="6"/>
  <c r="H65" i="6"/>
  <c r="I65" i="6"/>
  <c r="J65" i="6"/>
  <c r="K65" i="6"/>
  <c r="L65" i="6"/>
  <c r="M65" i="6"/>
  <c r="N65" i="6"/>
  <c r="O65" i="6"/>
  <c r="F66" i="6"/>
  <c r="G66" i="6"/>
  <c r="H66" i="6"/>
  <c r="I66" i="6"/>
  <c r="J66" i="6"/>
  <c r="K66" i="6"/>
  <c r="L66" i="6"/>
  <c r="M66" i="6"/>
  <c r="N66" i="6"/>
  <c r="O66" i="6"/>
  <c r="F67" i="6"/>
  <c r="G67" i="6"/>
  <c r="H67" i="6"/>
  <c r="I67" i="6"/>
  <c r="J67" i="6"/>
  <c r="K67" i="6"/>
  <c r="L67" i="6"/>
  <c r="M67" i="6"/>
  <c r="N67" i="6"/>
  <c r="O67" i="6"/>
  <c r="F68" i="6"/>
  <c r="G68" i="6"/>
  <c r="H68" i="6"/>
  <c r="I68" i="6"/>
  <c r="J68" i="6"/>
  <c r="K68" i="6"/>
  <c r="L68" i="6"/>
  <c r="M68" i="6"/>
  <c r="N68" i="6"/>
  <c r="O68" i="6"/>
  <c r="F69" i="6"/>
  <c r="G69" i="6"/>
  <c r="H69" i="6"/>
  <c r="I69" i="6"/>
  <c r="J69" i="6"/>
  <c r="K69" i="6"/>
  <c r="L69" i="6"/>
  <c r="M69" i="6"/>
  <c r="N69" i="6"/>
  <c r="O69" i="6"/>
  <c r="F70" i="6"/>
  <c r="G70" i="6"/>
  <c r="H70" i="6"/>
  <c r="I70" i="6"/>
  <c r="J70" i="6"/>
  <c r="K70" i="6"/>
  <c r="L70" i="6"/>
  <c r="M70" i="6"/>
  <c r="N70" i="6"/>
  <c r="O70" i="6"/>
  <c r="O258" i="6" s="1" a="1"/>
  <c r="O258" i="6" s="1"/>
  <c r="O259" i="6" s="1"/>
  <c r="F71" i="6"/>
  <c r="G71" i="6"/>
  <c r="H71" i="6"/>
  <c r="I71" i="6"/>
  <c r="J71" i="6"/>
  <c r="K71" i="6"/>
  <c r="L71" i="6"/>
  <c r="M71" i="6"/>
  <c r="N71" i="6"/>
  <c r="O71" i="6"/>
  <c r="F72" i="6"/>
  <c r="G72" i="6"/>
  <c r="H72" i="6"/>
  <c r="I72" i="6"/>
  <c r="J72" i="6"/>
  <c r="K72" i="6"/>
  <c r="L72" i="6"/>
  <c r="M72" i="6"/>
  <c r="N72" i="6"/>
  <c r="O72" i="6"/>
  <c r="F73" i="6"/>
  <c r="G73" i="6"/>
  <c r="H73" i="6"/>
  <c r="I73" i="6"/>
  <c r="J73" i="6"/>
  <c r="K73" i="6"/>
  <c r="L73" i="6"/>
  <c r="M73" i="6"/>
  <c r="N73" i="6"/>
  <c r="O73" i="6"/>
  <c r="F74" i="6"/>
  <c r="G74" i="6"/>
  <c r="H74" i="6"/>
  <c r="I74" i="6"/>
  <c r="J74" i="6"/>
  <c r="K74" i="6"/>
  <c r="L74" i="6"/>
  <c r="M74" i="6"/>
  <c r="N74" i="6"/>
  <c r="O74" i="6"/>
  <c r="F75" i="6"/>
  <c r="G75" i="6"/>
  <c r="H75" i="6"/>
  <c r="I75" i="6"/>
  <c r="J75" i="6"/>
  <c r="K75" i="6"/>
  <c r="L75" i="6"/>
  <c r="M75" i="6"/>
  <c r="N75" i="6"/>
  <c r="O75" i="6"/>
  <c r="F76" i="6"/>
  <c r="G76" i="6"/>
  <c r="H76" i="6"/>
  <c r="I76" i="6"/>
  <c r="J76" i="6"/>
  <c r="K76" i="6"/>
  <c r="L76" i="6"/>
  <c r="M76" i="6"/>
  <c r="N76" i="6"/>
  <c r="O76" i="6"/>
  <c r="F77" i="6"/>
  <c r="G77" i="6"/>
  <c r="H77" i="6"/>
  <c r="I77" i="6"/>
  <c r="J77" i="6"/>
  <c r="K77" i="6"/>
  <c r="L77" i="6"/>
  <c r="M77" i="6"/>
  <c r="N77" i="6"/>
  <c r="O77" i="6"/>
  <c r="F78" i="6"/>
  <c r="G78" i="6"/>
  <c r="H78" i="6"/>
  <c r="I78" i="6"/>
  <c r="J78" i="6"/>
  <c r="K78" i="6"/>
  <c r="L78" i="6"/>
  <c r="M78" i="6"/>
  <c r="N78" i="6"/>
  <c r="O78" i="6"/>
  <c r="F79" i="6"/>
  <c r="F258" i="6" s="1" a="1"/>
  <c r="F258" i="6" s="1"/>
  <c r="F259" i="6" s="1"/>
  <c r="G79" i="6"/>
  <c r="H79" i="6"/>
  <c r="I79" i="6"/>
  <c r="J79" i="6"/>
  <c r="K79" i="6"/>
  <c r="L79" i="6"/>
  <c r="M79" i="6"/>
  <c r="N79" i="6"/>
  <c r="O79" i="6"/>
  <c r="F80" i="6"/>
  <c r="G80" i="6"/>
  <c r="H80" i="6"/>
  <c r="I80" i="6"/>
  <c r="J80" i="6"/>
  <c r="K80" i="6"/>
  <c r="L80" i="6"/>
  <c r="M80" i="6"/>
  <c r="N80" i="6"/>
  <c r="O80" i="6"/>
  <c r="F81" i="6"/>
  <c r="G81" i="6"/>
  <c r="H81" i="6"/>
  <c r="I81" i="6"/>
  <c r="J81" i="6"/>
  <c r="K81" i="6"/>
  <c r="L81" i="6"/>
  <c r="M81" i="6"/>
  <c r="N81" i="6"/>
  <c r="O81" i="6"/>
  <c r="F82" i="6"/>
  <c r="G82" i="6"/>
  <c r="H82" i="6"/>
  <c r="I82" i="6"/>
  <c r="J82" i="6"/>
  <c r="K82" i="6"/>
  <c r="L82" i="6"/>
  <c r="M82" i="6"/>
  <c r="N82" i="6"/>
  <c r="O82" i="6"/>
  <c r="F83" i="6"/>
  <c r="G83" i="6"/>
  <c r="H83" i="6"/>
  <c r="I83" i="6"/>
  <c r="J83" i="6"/>
  <c r="K83" i="6"/>
  <c r="L83" i="6"/>
  <c r="M83" i="6"/>
  <c r="N83" i="6"/>
  <c r="O83" i="6"/>
  <c r="F84" i="6"/>
  <c r="G84" i="6"/>
  <c r="H84" i="6"/>
  <c r="I84" i="6"/>
  <c r="J84" i="6"/>
  <c r="K84" i="6"/>
  <c r="L84" i="6"/>
  <c r="M84" i="6"/>
  <c r="N84" i="6"/>
  <c r="O84" i="6"/>
  <c r="F85" i="6"/>
  <c r="G85" i="6"/>
  <c r="H85" i="6"/>
  <c r="I85" i="6"/>
  <c r="J85" i="6"/>
  <c r="K85" i="6"/>
  <c r="L85" i="6"/>
  <c r="M85" i="6"/>
  <c r="N85" i="6"/>
  <c r="O85" i="6"/>
  <c r="F86" i="6"/>
  <c r="G86" i="6"/>
  <c r="H86" i="6"/>
  <c r="H258" i="6" s="1" a="1"/>
  <c r="H258" i="6" s="1"/>
  <c r="H259" i="6" s="1"/>
  <c r="I86" i="6"/>
  <c r="J86" i="6"/>
  <c r="K86" i="6"/>
  <c r="L86" i="6"/>
  <c r="M86" i="6"/>
  <c r="N86" i="6"/>
  <c r="O86" i="6"/>
  <c r="F87" i="6"/>
  <c r="G87" i="6"/>
  <c r="H87" i="6"/>
  <c r="I87" i="6"/>
  <c r="J87" i="6"/>
  <c r="K87" i="6"/>
  <c r="L87" i="6"/>
  <c r="M87" i="6"/>
  <c r="N87" i="6"/>
  <c r="O87" i="6"/>
  <c r="F88" i="6"/>
  <c r="G88" i="6"/>
  <c r="H88" i="6"/>
  <c r="I88" i="6"/>
  <c r="J88" i="6"/>
  <c r="K88" i="6"/>
  <c r="L88" i="6"/>
  <c r="M88" i="6"/>
  <c r="N88" i="6"/>
  <c r="O88" i="6"/>
  <c r="F89" i="6"/>
  <c r="G89" i="6"/>
  <c r="H89" i="6"/>
  <c r="I89" i="6"/>
  <c r="J89" i="6"/>
  <c r="K89" i="6"/>
  <c r="L89" i="6"/>
  <c r="M89" i="6"/>
  <c r="N89" i="6"/>
  <c r="O89" i="6"/>
  <c r="F90" i="6"/>
  <c r="G90" i="6"/>
  <c r="H90" i="6"/>
  <c r="I90" i="6"/>
  <c r="J90" i="6"/>
  <c r="K90" i="6"/>
  <c r="L90" i="6"/>
  <c r="M90" i="6"/>
  <c r="N90" i="6"/>
  <c r="O90" i="6"/>
  <c r="F91" i="6"/>
  <c r="G91" i="6"/>
  <c r="H91" i="6"/>
  <c r="I91" i="6"/>
  <c r="J91" i="6"/>
  <c r="K91" i="6"/>
  <c r="L91" i="6"/>
  <c r="M91" i="6"/>
  <c r="N91" i="6"/>
  <c r="O91" i="6"/>
  <c r="F92" i="6"/>
  <c r="G92" i="6"/>
  <c r="H92" i="6"/>
  <c r="I92" i="6"/>
  <c r="J92" i="6"/>
  <c r="J258" i="6" s="1" a="1"/>
  <c r="J258" i="6" s="1"/>
  <c r="J259" i="6" s="1"/>
  <c r="K92" i="6"/>
  <c r="L92" i="6"/>
  <c r="M92" i="6"/>
  <c r="N92" i="6"/>
  <c r="O92" i="6"/>
  <c r="F93" i="6"/>
  <c r="G93" i="6"/>
  <c r="H93" i="6"/>
  <c r="I93" i="6"/>
  <c r="J93" i="6"/>
  <c r="K93" i="6"/>
  <c r="L93" i="6"/>
  <c r="M93" i="6"/>
  <c r="N93" i="6"/>
  <c r="O93" i="6"/>
  <c r="F94" i="6"/>
  <c r="G94" i="6"/>
  <c r="H94" i="6"/>
  <c r="I94" i="6"/>
  <c r="J94" i="6"/>
  <c r="K94" i="6"/>
  <c r="L94" i="6"/>
  <c r="M94" i="6"/>
  <c r="N94" i="6"/>
  <c r="O94" i="6"/>
  <c r="F95" i="6"/>
  <c r="G95" i="6"/>
  <c r="H95" i="6"/>
  <c r="I95" i="6"/>
  <c r="J95" i="6"/>
  <c r="K95" i="6"/>
  <c r="L95" i="6"/>
  <c r="M95" i="6"/>
  <c r="N95" i="6"/>
  <c r="O95" i="6"/>
  <c r="F96" i="6"/>
  <c r="G96" i="6"/>
  <c r="H96" i="6"/>
  <c r="I96" i="6"/>
  <c r="J96" i="6"/>
  <c r="K96" i="6"/>
  <c r="L96" i="6"/>
  <c r="M96" i="6"/>
  <c r="N96" i="6"/>
  <c r="O96" i="6"/>
  <c r="F97" i="6"/>
  <c r="G97" i="6"/>
  <c r="H97" i="6"/>
  <c r="I97" i="6"/>
  <c r="J97" i="6"/>
  <c r="K97" i="6"/>
  <c r="L97" i="6"/>
  <c r="M97" i="6"/>
  <c r="N97" i="6"/>
  <c r="O97" i="6"/>
  <c r="F98" i="6"/>
  <c r="G98" i="6"/>
  <c r="H98" i="6"/>
  <c r="I98" i="6"/>
  <c r="J98" i="6"/>
  <c r="K98" i="6"/>
  <c r="L98" i="6"/>
  <c r="M98" i="6"/>
  <c r="N98" i="6"/>
  <c r="O98" i="6"/>
  <c r="F99" i="6"/>
  <c r="G99" i="6"/>
  <c r="H99" i="6"/>
  <c r="I99" i="6"/>
  <c r="J99" i="6"/>
  <c r="K99" i="6"/>
  <c r="L99" i="6"/>
  <c r="L258" i="6" s="1" a="1"/>
  <c r="L258" i="6" s="1"/>
  <c r="L259" i="6" s="1"/>
  <c r="M99" i="6"/>
  <c r="N99" i="6"/>
  <c r="O99" i="6"/>
  <c r="F100" i="6"/>
  <c r="G100" i="6"/>
  <c r="H100" i="6"/>
  <c r="I100" i="6"/>
  <c r="J100" i="6"/>
  <c r="K100" i="6"/>
  <c r="L100" i="6"/>
  <c r="M100" i="6"/>
  <c r="N100" i="6"/>
  <c r="O100" i="6"/>
  <c r="F101" i="6"/>
  <c r="G101" i="6"/>
  <c r="H101" i="6"/>
  <c r="I101" i="6"/>
  <c r="J101" i="6"/>
  <c r="K101" i="6"/>
  <c r="L101" i="6"/>
  <c r="M101" i="6"/>
  <c r="N101" i="6"/>
  <c r="O101" i="6"/>
  <c r="F102" i="6"/>
  <c r="G102" i="6"/>
  <c r="H102" i="6"/>
  <c r="I102" i="6"/>
  <c r="J102" i="6"/>
  <c r="K102" i="6"/>
  <c r="L102" i="6"/>
  <c r="M102" i="6"/>
  <c r="N102" i="6"/>
  <c r="O102" i="6"/>
  <c r="F103" i="6"/>
  <c r="G103" i="6"/>
  <c r="H103" i="6"/>
  <c r="I103" i="6"/>
  <c r="J103" i="6"/>
  <c r="K103" i="6"/>
  <c r="L103" i="6"/>
  <c r="M103" i="6"/>
  <c r="N103" i="6"/>
  <c r="O103" i="6"/>
  <c r="F104" i="6"/>
  <c r="G104" i="6"/>
  <c r="H104" i="6"/>
  <c r="I104" i="6"/>
  <c r="J104" i="6"/>
  <c r="K104" i="6"/>
  <c r="L104" i="6"/>
  <c r="M104" i="6"/>
  <c r="N104" i="6"/>
  <c r="O104" i="6"/>
  <c r="F105" i="6"/>
  <c r="G105" i="6"/>
  <c r="H105" i="6"/>
  <c r="I105" i="6"/>
  <c r="J105" i="6"/>
  <c r="K105" i="6"/>
  <c r="L105" i="6"/>
  <c r="M105" i="6"/>
  <c r="N105" i="6"/>
  <c r="N258" i="6" s="1" a="1"/>
  <c r="N258" i="6" s="1"/>
  <c r="N259" i="6" s="1"/>
  <c r="O105" i="6"/>
  <c r="F106" i="6"/>
  <c r="G106" i="6"/>
  <c r="H106" i="6"/>
  <c r="I106" i="6"/>
  <c r="J106" i="6"/>
  <c r="K106" i="6"/>
  <c r="L106" i="6"/>
  <c r="M106" i="6"/>
  <c r="N106" i="6"/>
  <c r="O106" i="6"/>
  <c r="F107" i="6"/>
  <c r="G107" i="6"/>
  <c r="H107" i="6"/>
  <c r="I107" i="6"/>
  <c r="J107" i="6"/>
  <c r="K107" i="6"/>
  <c r="L107" i="6"/>
  <c r="M107" i="6"/>
  <c r="N107" i="6"/>
  <c r="O107" i="6"/>
  <c r="F108" i="6"/>
  <c r="G108" i="6"/>
  <c r="H108" i="6"/>
  <c r="I108" i="6"/>
  <c r="J108" i="6"/>
  <c r="K108" i="6"/>
  <c r="L108" i="6"/>
  <c r="M108" i="6"/>
  <c r="N108" i="6"/>
  <c r="O108" i="6"/>
  <c r="F109" i="6"/>
  <c r="G109" i="6"/>
  <c r="H109" i="6"/>
  <c r="I109" i="6"/>
  <c r="J109" i="6"/>
  <c r="K109" i="6"/>
  <c r="L109" i="6"/>
  <c r="M109" i="6"/>
  <c r="N109" i="6"/>
  <c r="O109" i="6"/>
  <c r="F110" i="6"/>
  <c r="G110" i="6"/>
  <c r="H110" i="6"/>
  <c r="I110" i="6"/>
  <c r="J110" i="6"/>
  <c r="K110" i="6"/>
  <c r="L110" i="6"/>
  <c r="M110" i="6"/>
  <c r="N110" i="6"/>
  <c r="O110" i="6"/>
  <c r="F111" i="6"/>
  <c r="G111" i="6"/>
  <c r="H111" i="6"/>
  <c r="I111" i="6"/>
  <c r="J111" i="6"/>
  <c r="K111" i="6"/>
  <c r="L111" i="6"/>
  <c r="M111" i="6"/>
  <c r="N111" i="6"/>
  <c r="O111" i="6"/>
  <c r="F112" i="6"/>
  <c r="G112" i="6"/>
  <c r="H112" i="6"/>
  <c r="I112" i="6"/>
  <c r="J112" i="6"/>
  <c r="K112" i="6"/>
  <c r="L112" i="6"/>
  <c r="M112" i="6"/>
  <c r="N112" i="6"/>
  <c r="O112" i="6"/>
  <c r="F113" i="6"/>
  <c r="G113" i="6"/>
  <c r="H113" i="6"/>
  <c r="I113" i="6"/>
  <c r="J113" i="6"/>
  <c r="K113" i="6"/>
  <c r="L113" i="6"/>
  <c r="M113" i="6"/>
  <c r="N113" i="6"/>
  <c r="O113" i="6"/>
  <c r="F114" i="6"/>
  <c r="G114" i="6"/>
  <c r="H114" i="6"/>
  <c r="I114" i="6"/>
  <c r="J114" i="6"/>
  <c r="K114" i="6"/>
  <c r="L114" i="6"/>
  <c r="M114" i="6"/>
  <c r="N114" i="6"/>
  <c r="O114" i="6"/>
  <c r="F115" i="6"/>
  <c r="G115" i="6"/>
  <c r="H115" i="6"/>
  <c r="I115" i="6"/>
  <c r="J115" i="6"/>
  <c r="K115" i="6"/>
  <c r="L115" i="6"/>
  <c r="M115" i="6"/>
  <c r="N115" i="6"/>
  <c r="O115" i="6"/>
  <c r="F116" i="6"/>
  <c r="G116" i="6"/>
  <c r="H116" i="6"/>
  <c r="I116" i="6"/>
  <c r="J116" i="6"/>
  <c r="K116" i="6"/>
  <c r="L116" i="6"/>
  <c r="M116" i="6"/>
  <c r="N116" i="6"/>
  <c r="O116" i="6"/>
  <c r="F117" i="6"/>
  <c r="G117" i="6"/>
  <c r="H117" i="6"/>
  <c r="I117" i="6"/>
  <c r="J117" i="6"/>
  <c r="K117" i="6"/>
  <c r="L117" i="6"/>
  <c r="M117" i="6"/>
  <c r="N117" i="6"/>
  <c r="O117" i="6"/>
  <c r="F118" i="6"/>
  <c r="G118" i="6"/>
  <c r="H118" i="6"/>
  <c r="I118" i="6"/>
  <c r="J118" i="6"/>
  <c r="K118" i="6"/>
  <c r="L118" i="6"/>
  <c r="M118" i="6"/>
  <c r="N118" i="6"/>
  <c r="O118" i="6"/>
  <c r="F119" i="6"/>
  <c r="G119" i="6"/>
  <c r="H119" i="6"/>
  <c r="I119" i="6"/>
  <c r="J119" i="6"/>
  <c r="K119" i="6"/>
  <c r="L119" i="6"/>
  <c r="M119" i="6"/>
  <c r="N119" i="6"/>
  <c r="O119" i="6"/>
  <c r="F120" i="6"/>
  <c r="G120" i="6"/>
  <c r="H120" i="6"/>
  <c r="I120" i="6"/>
  <c r="J120" i="6"/>
  <c r="K120" i="6"/>
  <c r="L120" i="6"/>
  <c r="M120" i="6"/>
  <c r="N120" i="6"/>
  <c r="O120" i="6"/>
  <c r="F121" i="6"/>
  <c r="G121" i="6"/>
  <c r="H121" i="6"/>
  <c r="I121" i="6"/>
  <c r="J121" i="6"/>
  <c r="K121" i="6"/>
  <c r="L121" i="6"/>
  <c r="M121" i="6"/>
  <c r="N121" i="6"/>
  <c r="O121" i="6"/>
  <c r="F122" i="6"/>
  <c r="G122" i="6"/>
  <c r="H122" i="6"/>
  <c r="I122" i="6"/>
  <c r="J122" i="6"/>
  <c r="K122" i="6"/>
  <c r="L122" i="6"/>
  <c r="M122" i="6"/>
  <c r="N122" i="6"/>
  <c r="O122" i="6"/>
  <c r="F123" i="6"/>
  <c r="G123" i="6"/>
  <c r="H123" i="6"/>
  <c r="I123" i="6"/>
  <c r="J123" i="6"/>
  <c r="K123" i="6"/>
  <c r="L123" i="6"/>
  <c r="M123" i="6"/>
  <c r="N123" i="6"/>
  <c r="O123" i="6"/>
  <c r="F124" i="6"/>
  <c r="G124" i="6"/>
  <c r="H124" i="6"/>
  <c r="I124" i="6"/>
  <c r="J124" i="6"/>
  <c r="K124" i="6"/>
  <c r="L124" i="6"/>
  <c r="M124" i="6"/>
  <c r="N124" i="6"/>
  <c r="O124" i="6"/>
  <c r="F125" i="6"/>
  <c r="G125" i="6"/>
  <c r="H125" i="6"/>
  <c r="I125" i="6"/>
  <c r="J125" i="6"/>
  <c r="K125" i="6"/>
  <c r="L125" i="6"/>
  <c r="M125" i="6"/>
  <c r="N125" i="6"/>
  <c r="O125" i="6"/>
  <c r="F126" i="6"/>
  <c r="G126" i="6"/>
  <c r="H126" i="6"/>
  <c r="I126" i="6"/>
  <c r="J126" i="6"/>
  <c r="K126" i="6"/>
  <c r="L126" i="6"/>
  <c r="M126" i="6"/>
  <c r="N126" i="6"/>
  <c r="O126" i="6"/>
  <c r="F127" i="6"/>
  <c r="G127" i="6"/>
  <c r="H127" i="6"/>
  <c r="I127" i="6"/>
  <c r="J127" i="6"/>
  <c r="K127" i="6"/>
  <c r="L127" i="6"/>
  <c r="M127" i="6"/>
  <c r="N127" i="6"/>
  <c r="O127" i="6"/>
  <c r="F128" i="6"/>
  <c r="G128" i="6"/>
  <c r="H128" i="6"/>
  <c r="I128" i="6"/>
  <c r="J128" i="6"/>
  <c r="K128" i="6"/>
  <c r="L128" i="6"/>
  <c r="M128" i="6"/>
  <c r="N128" i="6"/>
  <c r="O128" i="6"/>
  <c r="F129" i="6"/>
  <c r="G129" i="6"/>
  <c r="H129" i="6"/>
  <c r="I129" i="6"/>
  <c r="J129" i="6"/>
  <c r="K129" i="6"/>
  <c r="L129" i="6"/>
  <c r="M129" i="6"/>
  <c r="N129" i="6"/>
  <c r="O129" i="6"/>
  <c r="F130" i="6"/>
  <c r="G130" i="6"/>
  <c r="H130" i="6"/>
  <c r="I130" i="6"/>
  <c r="J130" i="6"/>
  <c r="K130" i="6"/>
  <c r="L130" i="6"/>
  <c r="M130" i="6"/>
  <c r="N130" i="6"/>
  <c r="O130" i="6"/>
  <c r="F131" i="6"/>
  <c r="G131" i="6"/>
  <c r="H131" i="6"/>
  <c r="I131" i="6"/>
  <c r="J131" i="6"/>
  <c r="K131" i="6"/>
  <c r="L131" i="6"/>
  <c r="M131" i="6"/>
  <c r="N131" i="6"/>
  <c r="O131" i="6"/>
  <c r="F132" i="6"/>
  <c r="G132" i="6"/>
  <c r="H132" i="6"/>
  <c r="I132" i="6"/>
  <c r="J132" i="6"/>
  <c r="K132" i="6"/>
  <c r="L132" i="6"/>
  <c r="M132" i="6"/>
  <c r="N132" i="6"/>
  <c r="O132" i="6"/>
  <c r="F133" i="6"/>
  <c r="G133" i="6"/>
  <c r="H133" i="6"/>
  <c r="I133" i="6"/>
  <c r="J133" i="6"/>
  <c r="K133" i="6"/>
  <c r="L133" i="6"/>
  <c r="M133" i="6"/>
  <c r="N133" i="6"/>
  <c r="O133" i="6"/>
  <c r="F134" i="6"/>
  <c r="G134" i="6"/>
  <c r="H134" i="6"/>
  <c r="I134" i="6"/>
  <c r="J134" i="6"/>
  <c r="K134" i="6"/>
  <c r="L134" i="6"/>
  <c r="M134" i="6"/>
  <c r="N134" i="6"/>
  <c r="O134" i="6"/>
  <c r="F135" i="6"/>
  <c r="G135" i="6"/>
  <c r="H135" i="6"/>
  <c r="I135" i="6"/>
  <c r="J135" i="6"/>
  <c r="K135" i="6"/>
  <c r="L135" i="6"/>
  <c r="M135" i="6"/>
  <c r="N135" i="6"/>
  <c r="O135" i="6"/>
  <c r="F136" i="6"/>
  <c r="G136" i="6"/>
  <c r="H136" i="6"/>
  <c r="I136" i="6"/>
  <c r="J136" i="6"/>
  <c r="K136" i="6"/>
  <c r="L136" i="6"/>
  <c r="M136" i="6"/>
  <c r="N136" i="6"/>
  <c r="O136" i="6"/>
  <c r="F137" i="6"/>
  <c r="G137" i="6"/>
  <c r="H137" i="6"/>
  <c r="I137" i="6"/>
  <c r="J137" i="6"/>
  <c r="K137" i="6"/>
  <c r="L137" i="6"/>
  <c r="M137" i="6"/>
  <c r="N137" i="6"/>
  <c r="O137" i="6"/>
  <c r="F138" i="6"/>
  <c r="G138" i="6"/>
  <c r="H138" i="6"/>
  <c r="I138" i="6"/>
  <c r="J138" i="6"/>
  <c r="K138" i="6"/>
  <c r="L138" i="6"/>
  <c r="M138" i="6"/>
  <c r="N138" i="6"/>
  <c r="O138" i="6"/>
  <c r="F139" i="6"/>
  <c r="G139" i="6"/>
  <c r="H139" i="6"/>
  <c r="I139" i="6"/>
  <c r="J139" i="6"/>
  <c r="K139" i="6"/>
  <c r="L139" i="6"/>
  <c r="M139" i="6"/>
  <c r="N139" i="6"/>
  <c r="O139" i="6"/>
  <c r="F140" i="6"/>
  <c r="G140" i="6"/>
  <c r="H140" i="6"/>
  <c r="I140" i="6"/>
  <c r="J140" i="6"/>
  <c r="K140" i="6"/>
  <c r="L140" i="6"/>
  <c r="M140" i="6"/>
  <c r="N140" i="6"/>
  <c r="O140" i="6"/>
  <c r="F141" i="6"/>
  <c r="G141" i="6"/>
  <c r="H141" i="6"/>
  <c r="I141" i="6"/>
  <c r="J141" i="6"/>
  <c r="K141" i="6"/>
  <c r="L141" i="6"/>
  <c r="M141" i="6"/>
  <c r="N141" i="6"/>
  <c r="O141" i="6"/>
  <c r="F142" i="6"/>
  <c r="G142" i="6"/>
  <c r="H142" i="6"/>
  <c r="I142" i="6"/>
  <c r="J142" i="6"/>
  <c r="K142" i="6"/>
  <c r="L142" i="6"/>
  <c r="M142" i="6"/>
  <c r="N142" i="6"/>
  <c r="O142" i="6"/>
  <c r="F143" i="6"/>
  <c r="G143" i="6"/>
  <c r="H143" i="6"/>
  <c r="I143" i="6"/>
  <c r="J143" i="6"/>
  <c r="K143" i="6"/>
  <c r="L143" i="6"/>
  <c r="M143" i="6"/>
  <c r="N143" i="6"/>
  <c r="O143" i="6"/>
  <c r="F144" i="6"/>
  <c r="G144" i="6"/>
  <c r="H144" i="6"/>
  <c r="I144" i="6"/>
  <c r="J144" i="6"/>
  <c r="K144" i="6"/>
  <c r="L144" i="6"/>
  <c r="M144" i="6"/>
  <c r="N144" i="6"/>
  <c r="O144" i="6"/>
  <c r="F145" i="6"/>
  <c r="G145" i="6"/>
  <c r="H145" i="6"/>
  <c r="I145" i="6"/>
  <c r="J145" i="6"/>
  <c r="K145" i="6"/>
  <c r="L145" i="6"/>
  <c r="M145" i="6"/>
  <c r="N145" i="6"/>
  <c r="O145" i="6"/>
  <c r="F146" i="6"/>
  <c r="G146" i="6"/>
  <c r="H146" i="6"/>
  <c r="I146" i="6"/>
  <c r="J146" i="6"/>
  <c r="K146" i="6"/>
  <c r="L146" i="6"/>
  <c r="M146" i="6"/>
  <c r="N146" i="6"/>
  <c r="O146" i="6"/>
  <c r="F147" i="6"/>
  <c r="G147" i="6"/>
  <c r="H147" i="6"/>
  <c r="I147" i="6"/>
  <c r="J147" i="6"/>
  <c r="K147" i="6"/>
  <c r="L147" i="6"/>
  <c r="M147" i="6"/>
  <c r="N147" i="6"/>
  <c r="O147" i="6"/>
  <c r="F148" i="6"/>
  <c r="G148" i="6"/>
  <c r="H148" i="6"/>
  <c r="I148" i="6"/>
  <c r="J148" i="6"/>
  <c r="K148" i="6"/>
  <c r="L148" i="6"/>
  <c r="M148" i="6"/>
  <c r="N148" i="6"/>
  <c r="O148" i="6"/>
  <c r="F149" i="6"/>
  <c r="G149" i="6"/>
  <c r="H149" i="6"/>
  <c r="I149" i="6"/>
  <c r="J149" i="6"/>
  <c r="K149" i="6"/>
  <c r="L149" i="6"/>
  <c r="M149" i="6"/>
  <c r="N149" i="6"/>
  <c r="O149" i="6"/>
  <c r="F150" i="6"/>
  <c r="G150" i="6"/>
  <c r="H150" i="6"/>
  <c r="I150" i="6"/>
  <c r="J150" i="6"/>
  <c r="K150" i="6"/>
  <c r="L150" i="6"/>
  <c r="M150" i="6"/>
  <c r="N150" i="6"/>
  <c r="O150" i="6"/>
  <c r="F151" i="6"/>
  <c r="G151" i="6"/>
  <c r="H151" i="6"/>
  <c r="I151" i="6"/>
  <c r="J151" i="6"/>
  <c r="K151" i="6"/>
  <c r="L151" i="6"/>
  <c r="M151" i="6"/>
  <c r="N151" i="6"/>
  <c r="O151" i="6"/>
  <c r="F152" i="6"/>
  <c r="G152" i="6"/>
  <c r="H152" i="6"/>
  <c r="I152" i="6"/>
  <c r="J152" i="6"/>
  <c r="K152" i="6"/>
  <c r="L152" i="6"/>
  <c r="M152" i="6"/>
  <c r="N152" i="6"/>
  <c r="O152" i="6"/>
  <c r="F153" i="6"/>
  <c r="G153" i="6"/>
  <c r="H153" i="6"/>
  <c r="I153" i="6"/>
  <c r="J153" i="6"/>
  <c r="K153" i="6"/>
  <c r="L153" i="6"/>
  <c r="M153" i="6"/>
  <c r="N153" i="6"/>
  <c r="O153" i="6"/>
  <c r="F154" i="6"/>
  <c r="G154" i="6"/>
  <c r="H154" i="6"/>
  <c r="I154" i="6"/>
  <c r="J154" i="6"/>
  <c r="K154" i="6"/>
  <c r="L154" i="6"/>
  <c r="M154" i="6"/>
  <c r="N154" i="6"/>
  <c r="O154" i="6"/>
  <c r="F155" i="6"/>
  <c r="G155" i="6"/>
  <c r="H155" i="6"/>
  <c r="I155" i="6"/>
  <c r="J155" i="6"/>
  <c r="K155" i="6"/>
  <c r="L155" i="6"/>
  <c r="M155" i="6"/>
  <c r="N155" i="6"/>
  <c r="O155" i="6"/>
  <c r="F156" i="6"/>
  <c r="G156" i="6"/>
  <c r="H156" i="6"/>
  <c r="I156" i="6"/>
  <c r="J156" i="6"/>
  <c r="K156" i="6"/>
  <c r="L156" i="6"/>
  <c r="M156" i="6"/>
  <c r="N156" i="6"/>
  <c r="O156" i="6"/>
  <c r="F157" i="6"/>
  <c r="G157" i="6"/>
  <c r="H157" i="6"/>
  <c r="I157" i="6"/>
  <c r="J157" i="6"/>
  <c r="K157" i="6"/>
  <c r="L157" i="6"/>
  <c r="M157" i="6"/>
  <c r="N157" i="6"/>
  <c r="O157" i="6"/>
  <c r="F158" i="6"/>
  <c r="G158" i="6"/>
  <c r="H158" i="6"/>
  <c r="I158" i="6"/>
  <c r="J158" i="6"/>
  <c r="K158" i="6"/>
  <c r="L158" i="6"/>
  <c r="M158" i="6"/>
  <c r="N158" i="6"/>
  <c r="O158" i="6"/>
  <c r="F159" i="6"/>
  <c r="G159" i="6"/>
  <c r="H159" i="6"/>
  <c r="I159" i="6"/>
  <c r="J159" i="6"/>
  <c r="K159" i="6"/>
  <c r="L159" i="6"/>
  <c r="M159" i="6"/>
  <c r="N159" i="6"/>
  <c r="O159" i="6"/>
  <c r="F160" i="6"/>
  <c r="G160" i="6"/>
  <c r="H160" i="6"/>
  <c r="I160" i="6"/>
  <c r="J160" i="6"/>
  <c r="K160" i="6"/>
  <c r="L160" i="6"/>
  <c r="M160" i="6"/>
  <c r="N160" i="6"/>
  <c r="O160" i="6"/>
  <c r="F161" i="6"/>
  <c r="G161" i="6"/>
  <c r="H161" i="6"/>
  <c r="I161" i="6"/>
  <c r="J161" i="6"/>
  <c r="K161" i="6"/>
  <c r="L161" i="6"/>
  <c r="M161" i="6"/>
  <c r="N161" i="6"/>
  <c r="O161" i="6"/>
  <c r="F162" i="6"/>
  <c r="G162" i="6"/>
  <c r="H162" i="6"/>
  <c r="I162" i="6"/>
  <c r="J162" i="6"/>
  <c r="K162" i="6"/>
  <c r="L162" i="6"/>
  <c r="M162" i="6"/>
  <c r="N162" i="6"/>
  <c r="O162" i="6"/>
  <c r="F163" i="6"/>
  <c r="G163" i="6"/>
  <c r="H163" i="6"/>
  <c r="I163" i="6"/>
  <c r="J163" i="6"/>
  <c r="K163" i="6"/>
  <c r="L163" i="6"/>
  <c r="M163" i="6"/>
  <c r="N163" i="6"/>
  <c r="O163" i="6"/>
  <c r="F164" i="6"/>
  <c r="G164" i="6"/>
  <c r="H164" i="6"/>
  <c r="I164" i="6"/>
  <c r="J164" i="6"/>
  <c r="K164" i="6"/>
  <c r="L164" i="6"/>
  <c r="M164" i="6"/>
  <c r="N164" i="6"/>
  <c r="O164" i="6"/>
  <c r="F165" i="6"/>
  <c r="G165" i="6"/>
  <c r="H165" i="6"/>
  <c r="I165" i="6"/>
  <c r="J165" i="6"/>
  <c r="K165" i="6"/>
  <c r="L165" i="6"/>
  <c r="M165" i="6"/>
  <c r="N165" i="6"/>
  <c r="O165" i="6"/>
  <c r="F166" i="6"/>
  <c r="G166" i="6"/>
  <c r="H166" i="6"/>
  <c r="I166" i="6"/>
  <c r="J166" i="6"/>
  <c r="K166" i="6"/>
  <c r="L166" i="6"/>
  <c r="M166" i="6"/>
  <c r="N166" i="6"/>
  <c r="O166" i="6"/>
  <c r="F167" i="6"/>
  <c r="G167" i="6"/>
  <c r="H167" i="6"/>
  <c r="I167" i="6"/>
  <c r="J167" i="6"/>
  <c r="K167" i="6"/>
  <c r="L167" i="6"/>
  <c r="M167" i="6"/>
  <c r="N167" i="6"/>
  <c r="O167" i="6"/>
  <c r="F168" i="6"/>
  <c r="G168" i="6"/>
  <c r="H168" i="6"/>
  <c r="I168" i="6"/>
  <c r="J168" i="6"/>
  <c r="K168" i="6"/>
  <c r="L168" i="6"/>
  <c r="M168" i="6"/>
  <c r="N168" i="6"/>
  <c r="O168" i="6"/>
  <c r="F169" i="6"/>
  <c r="G169" i="6"/>
  <c r="H169" i="6"/>
  <c r="I169" i="6"/>
  <c r="J169" i="6"/>
  <c r="K169" i="6"/>
  <c r="L169" i="6"/>
  <c r="M169" i="6"/>
  <c r="N169" i="6"/>
  <c r="O169" i="6"/>
  <c r="F170" i="6"/>
  <c r="G170" i="6"/>
  <c r="H170" i="6"/>
  <c r="I170" i="6"/>
  <c r="J170" i="6"/>
  <c r="K170" i="6"/>
  <c r="L170" i="6"/>
  <c r="M170" i="6"/>
  <c r="N170" i="6"/>
  <c r="O170" i="6"/>
  <c r="F171" i="6"/>
  <c r="G171" i="6"/>
  <c r="H171" i="6"/>
  <c r="I171" i="6"/>
  <c r="J171" i="6"/>
  <c r="K171" i="6"/>
  <c r="L171" i="6"/>
  <c r="M171" i="6"/>
  <c r="N171" i="6"/>
  <c r="O171" i="6"/>
  <c r="F172" i="6"/>
  <c r="G172" i="6"/>
  <c r="H172" i="6"/>
  <c r="I172" i="6"/>
  <c r="J172" i="6"/>
  <c r="K172" i="6"/>
  <c r="L172" i="6"/>
  <c r="M172" i="6"/>
  <c r="N172" i="6"/>
  <c r="O172" i="6"/>
  <c r="F173" i="6"/>
  <c r="G173" i="6"/>
  <c r="H173" i="6"/>
  <c r="I173" i="6"/>
  <c r="J173" i="6"/>
  <c r="K173" i="6"/>
  <c r="L173" i="6"/>
  <c r="M173" i="6"/>
  <c r="N173" i="6"/>
  <c r="O173" i="6"/>
  <c r="F174" i="6"/>
  <c r="G174" i="6"/>
  <c r="H174" i="6"/>
  <c r="I174" i="6"/>
  <c r="J174" i="6"/>
  <c r="K174" i="6"/>
  <c r="L174" i="6"/>
  <c r="M174" i="6"/>
  <c r="N174" i="6"/>
  <c r="O174" i="6"/>
  <c r="F175" i="6"/>
  <c r="G175" i="6"/>
  <c r="H175" i="6"/>
  <c r="I175" i="6"/>
  <c r="J175" i="6"/>
  <c r="K175" i="6"/>
  <c r="L175" i="6"/>
  <c r="M175" i="6"/>
  <c r="N175" i="6"/>
  <c r="O175" i="6"/>
  <c r="F176" i="6"/>
  <c r="G176" i="6"/>
  <c r="H176" i="6"/>
  <c r="I176" i="6"/>
  <c r="J176" i="6"/>
  <c r="K176" i="6"/>
  <c r="L176" i="6"/>
  <c r="M176" i="6"/>
  <c r="N176" i="6"/>
  <c r="O176" i="6"/>
  <c r="F177" i="6"/>
  <c r="G177" i="6"/>
  <c r="H177" i="6"/>
  <c r="I177" i="6"/>
  <c r="J177" i="6"/>
  <c r="K177" i="6"/>
  <c r="L177" i="6"/>
  <c r="M177" i="6"/>
  <c r="N177" i="6"/>
  <c r="O177" i="6"/>
  <c r="F178" i="6"/>
  <c r="G178" i="6"/>
  <c r="H178" i="6"/>
  <c r="I178" i="6"/>
  <c r="J178" i="6"/>
  <c r="K178" i="6"/>
  <c r="L178" i="6"/>
  <c r="M178" i="6"/>
  <c r="N178" i="6"/>
  <c r="O178" i="6"/>
  <c r="F179" i="6"/>
  <c r="G179" i="6"/>
  <c r="H179" i="6"/>
  <c r="I179" i="6"/>
  <c r="J179" i="6"/>
  <c r="K179" i="6"/>
  <c r="L179" i="6"/>
  <c r="M179" i="6"/>
  <c r="N179" i="6"/>
  <c r="O179" i="6"/>
  <c r="F180" i="6"/>
  <c r="G180" i="6"/>
  <c r="H180" i="6"/>
  <c r="I180" i="6"/>
  <c r="J180" i="6"/>
  <c r="K180" i="6"/>
  <c r="L180" i="6"/>
  <c r="M180" i="6"/>
  <c r="N180" i="6"/>
  <c r="O180" i="6"/>
  <c r="F181" i="6"/>
  <c r="G181" i="6"/>
  <c r="H181" i="6"/>
  <c r="I181" i="6"/>
  <c r="J181" i="6"/>
  <c r="K181" i="6"/>
  <c r="L181" i="6"/>
  <c r="M181" i="6"/>
  <c r="N181" i="6"/>
  <c r="O181" i="6"/>
  <c r="F182" i="6"/>
  <c r="G182" i="6"/>
  <c r="H182" i="6"/>
  <c r="I182" i="6"/>
  <c r="J182" i="6"/>
  <c r="K182" i="6"/>
  <c r="L182" i="6"/>
  <c r="M182" i="6"/>
  <c r="N182" i="6"/>
  <c r="O182" i="6"/>
  <c r="F183" i="6"/>
  <c r="G183" i="6"/>
  <c r="H183" i="6"/>
  <c r="I183" i="6"/>
  <c r="J183" i="6"/>
  <c r="K183" i="6"/>
  <c r="L183" i="6"/>
  <c r="M183" i="6"/>
  <c r="N183" i="6"/>
  <c r="O183" i="6"/>
  <c r="F184" i="6"/>
  <c r="G184" i="6"/>
  <c r="H184" i="6"/>
  <c r="I184" i="6"/>
  <c r="J184" i="6"/>
  <c r="K184" i="6"/>
  <c r="L184" i="6"/>
  <c r="M184" i="6"/>
  <c r="N184" i="6"/>
  <c r="O184" i="6"/>
  <c r="F185" i="6"/>
  <c r="G185" i="6"/>
  <c r="H185" i="6"/>
  <c r="I185" i="6"/>
  <c r="J185" i="6"/>
  <c r="K185" i="6"/>
  <c r="L185" i="6"/>
  <c r="M185" i="6"/>
  <c r="N185" i="6"/>
  <c r="O185" i="6"/>
  <c r="F186" i="6"/>
  <c r="G186" i="6"/>
  <c r="H186" i="6"/>
  <c r="I186" i="6"/>
  <c r="J186" i="6"/>
  <c r="K186" i="6"/>
  <c r="L186" i="6"/>
  <c r="M186" i="6"/>
  <c r="N186" i="6"/>
  <c r="O186" i="6"/>
  <c r="F187" i="6"/>
  <c r="G187" i="6"/>
  <c r="H187" i="6"/>
  <c r="I187" i="6"/>
  <c r="J187" i="6"/>
  <c r="K187" i="6"/>
  <c r="L187" i="6"/>
  <c r="M187" i="6"/>
  <c r="N187" i="6"/>
  <c r="O187" i="6"/>
  <c r="F188" i="6"/>
  <c r="G188" i="6"/>
  <c r="H188" i="6"/>
  <c r="I188" i="6"/>
  <c r="J188" i="6"/>
  <c r="K188" i="6"/>
  <c r="L188" i="6"/>
  <c r="M188" i="6"/>
  <c r="N188" i="6"/>
  <c r="O188" i="6"/>
  <c r="F189" i="6"/>
  <c r="G189" i="6"/>
  <c r="H189" i="6"/>
  <c r="I189" i="6"/>
  <c r="J189" i="6"/>
  <c r="K189" i="6"/>
  <c r="L189" i="6"/>
  <c r="M189" i="6"/>
  <c r="N189" i="6"/>
  <c r="O189" i="6"/>
  <c r="F190" i="6"/>
  <c r="G190" i="6"/>
  <c r="H190" i="6"/>
  <c r="I190" i="6"/>
  <c r="J190" i="6"/>
  <c r="K190" i="6"/>
  <c r="L190" i="6"/>
  <c r="M190" i="6"/>
  <c r="N190" i="6"/>
  <c r="O190" i="6"/>
  <c r="F191" i="6"/>
  <c r="G191" i="6"/>
  <c r="H191" i="6"/>
  <c r="I191" i="6"/>
  <c r="J191" i="6"/>
  <c r="K191" i="6"/>
  <c r="L191" i="6"/>
  <c r="M191" i="6"/>
  <c r="N191" i="6"/>
  <c r="O191" i="6"/>
  <c r="F192" i="6"/>
  <c r="G192" i="6"/>
  <c r="H192" i="6"/>
  <c r="I192" i="6"/>
  <c r="J192" i="6"/>
  <c r="K192" i="6"/>
  <c r="L192" i="6"/>
  <c r="M192" i="6"/>
  <c r="N192" i="6"/>
  <c r="O192" i="6"/>
  <c r="F193" i="6"/>
  <c r="G193" i="6"/>
  <c r="H193" i="6"/>
  <c r="I193" i="6"/>
  <c r="J193" i="6"/>
  <c r="K193" i="6"/>
  <c r="L193" i="6"/>
  <c r="M193" i="6"/>
  <c r="N193" i="6"/>
  <c r="O193" i="6"/>
  <c r="F194" i="6"/>
  <c r="G194" i="6"/>
  <c r="H194" i="6"/>
  <c r="I194" i="6"/>
  <c r="J194" i="6"/>
  <c r="K194" i="6"/>
  <c r="L194" i="6"/>
  <c r="M194" i="6"/>
  <c r="N194" i="6"/>
  <c r="O194" i="6"/>
  <c r="F195" i="6"/>
  <c r="G195" i="6"/>
  <c r="H195" i="6"/>
  <c r="I195" i="6"/>
  <c r="J195" i="6"/>
  <c r="K195" i="6"/>
  <c r="L195" i="6"/>
  <c r="M195" i="6"/>
  <c r="N195" i="6"/>
  <c r="O195" i="6"/>
  <c r="F196" i="6"/>
  <c r="G196" i="6"/>
  <c r="H196" i="6"/>
  <c r="I196" i="6"/>
  <c r="J196" i="6"/>
  <c r="K196" i="6"/>
  <c r="L196" i="6"/>
  <c r="M196" i="6"/>
  <c r="N196" i="6"/>
  <c r="O196" i="6"/>
  <c r="F197" i="6"/>
  <c r="G197" i="6"/>
  <c r="H197" i="6"/>
  <c r="I197" i="6"/>
  <c r="J197" i="6"/>
  <c r="K197" i="6"/>
  <c r="L197" i="6"/>
  <c r="M197" i="6"/>
  <c r="N197" i="6"/>
  <c r="O197" i="6"/>
  <c r="F198" i="6"/>
  <c r="G198" i="6"/>
  <c r="H198" i="6"/>
  <c r="I198" i="6"/>
  <c r="J198" i="6"/>
  <c r="K198" i="6"/>
  <c r="L198" i="6"/>
  <c r="M198" i="6"/>
  <c r="N198" i="6"/>
  <c r="O198" i="6"/>
  <c r="F199" i="6"/>
  <c r="G199" i="6"/>
  <c r="H199" i="6"/>
  <c r="I199" i="6"/>
  <c r="J199" i="6"/>
  <c r="K199" i="6"/>
  <c r="L199" i="6"/>
  <c r="M199" i="6"/>
  <c r="N199" i="6"/>
  <c r="O199" i="6"/>
  <c r="F200" i="6"/>
  <c r="G200" i="6"/>
  <c r="H200" i="6"/>
  <c r="I200" i="6"/>
  <c r="J200" i="6"/>
  <c r="K200" i="6"/>
  <c r="L200" i="6"/>
  <c r="M200" i="6"/>
  <c r="N200" i="6"/>
  <c r="O200" i="6"/>
  <c r="F201" i="6"/>
  <c r="G201" i="6"/>
  <c r="H201" i="6"/>
  <c r="I201" i="6"/>
  <c r="J201" i="6"/>
  <c r="K201" i="6"/>
  <c r="L201" i="6"/>
  <c r="M201" i="6"/>
  <c r="N201" i="6"/>
  <c r="O201" i="6"/>
  <c r="F202" i="6"/>
  <c r="G202" i="6"/>
  <c r="H202" i="6"/>
  <c r="I202" i="6"/>
  <c r="J202" i="6"/>
  <c r="K202" i="6"/>
  <c r="L202" i="6"/>
  <c r="M202" i="6"/>
  <c r="N202" i="6"/>
  <c r="O202" i="6"/>
  <c r="F203" i="6"/>
  <c r="G203" i="6"/>
  <c r="H203" i="6"/>
  <c r="I203" i="6"/>
  <c r="J203" i="6"/>
  <c r="K203" i="6"/>
  <c r="L203" i="6"/>
  <c r="M203" i="6"/>
  <c r="N203" i="6"/>
  <c r="O203" i="6"/>
  <c r="F204" i="6"/>
  <c r="G204" i="6"/>
  <c r="H204" i="6"/>
  <c r="I204" i="6"/>
  <c r="J204" i="6"/>
  <c r="K204" i="6"/>
  <c r="L204" i="6"/>
  <c r="M204" i="6"/>
  <c r="N204" i="6"/>
  <c r="O204" i="6"/>
  <c r="F205" i="6"/>
  <c r="G205" i="6"/>
  <c r="H205" i="6"/>
  <c r="I205" i="6"/>
  <c r="J205" i="6"/>
  <c r="K205" i="6"/>
  <c r="L205" i="6"/>
  <c r="M205" i="6"/>
  <c r="N205" i="6"/>
  <c r="O205" i="6"/>
  <c r="F206" i="6"/>
  <c r="G206" i="6"/>
  <c r="H206" i="6"/>
  <c r="I206" i="6"/>
  <c r="J206" i="6"/>
  <c r="K206" i="6"/>
  <c r="L206" i="6"/>
  <c r="M206" i="6"/>
  <c r="N206" i="6"/>
  <c r="O206" i="6"/>
  <c r="F207" i="6"/>
  <c r="G207" i="6"/>
  <c r="H207" i="6"/>
  <c r="I207" i="6"/>
  <c r="J207" i="6"/>
  <c r="K207" i="6"/>
  <c r="L207" i="6"/>
  <c r="M207" i="6"/>
  <c r="N207" i="6"/>
  <c r="O207" i="6"/>
  <c r="F208" i="6"/>
  <c r="G208" i="6"/>
  <c r="H208" i="6"/>
  <c r="I208" i="6"/>
  <c r="J208" i="6"/>
  <c r="K208" i="6"/>
  <c r="L208" i="6"/>
  <c r="M208" i="6"/>
  <c r="N208" i="6"/>
  <c r="O208" i="6"/>
  <c r="F209" i="6"/>
  <c r="G209" i="6"/>
  <c r="H209" i="6"/>
  <c r="I209" i="6"/>
  <c r="J209" i="6"/>
  <c r="K209" i="6"/>
  <c r="L209" i="6"/>
  <c r="M209" i="6"/>
  <c r="N209" i="6"/>
  <c r="O209" i="6"/>
  <c r="F210" i="6"/>
  <c r="G210" i="6"/>
  <c r="H210" i="6"/>
  <c r="I210" i="6"/>
  <c r="J210" i="6"/>
  <c r="K210" i="6"/>
  <c r="L210" i="6"/>
  <c r="M210" i="6"/>
  <c r="N210" i="6"/>
  <c r="O210" i="6"/>
  <c r="F211" i="6"/>
  <c r="G211" i="6"/>
  <c r="H211" i="6"/>
  <c r="I211" i="6"/>
  <c r="J211" i="6"/>
  <c r="K211" i="6"/>
  <c r="L211" i="6"/>
  <c r="M211" i="6"/>
  <c r="N211" i="6"/>
  <c r="O211" i="6"/>
  <c r="F212" i="6"/>
  <c r="G212" i="6"/>
  <c r="H212" i="6"/>
  <c r="I212" i="6"/>
  <c r="J212" i="6"/>
  <c r="K212" i="6"/>
  <c r="L212" i="6"/>
  <c r="M212" i="6"/>
  <c r="N212" i="6"/>
  <c r="O212" i="6"/>
  <c r="F213" i="6"/>
  <c r="G213" i="6"/>
  <c r="H213" i="6"/>
  <c r="I213" i="6"/>
  <c r="J213" i="6"/>
  <c r="K213" i="6"/>
  <c r="L213" i="6"/>
  <c r="M213" i="6"/>
  <c r="N213" i="6"/>
  <c r="O213" i="6"/>
  <c r="F214" i="6"/>
  <c r="G214" i="6"/>
  <c r="H214" i="6"/>
  <c r="I214" i="6"/>
  <c r="J214" i="6"/>
  <c r="K214" i="6"/>
  <c r="L214" i="6"/>
  <c r="M214" i="6"/>
  <c r="N214" i="6"/>
  <c r="O214" i="6"/>
  <c r="F215" i="6"/>
  <c r="G215" i="6"/>
  <c r="H215" i="6"/>
  <c r="I215" i="6"/>
  <c r="J215" i="6"/>
  <c r="K215" i="6"/>
  <c r="L215" i="6"/>
  <c r="M215" i="6"/>
  <c r="N215" i="6"/>
  <c r="O215" i="6"/>
  <c r="F216" i="6"/>
  <c r="G216" i="6"/>
  <c r="H216" i="6"/>
  <c r="I216" i="6"/>
  <c r="J216" i="6"/>
  <c r="K216" i="6"/>
  <c r="L216" i="6"/>
  <c r="M216" i="6"/>
  <c r="N216" i="6"/>
  <c r="O216" i="6"/>
  <c r="F217" i="6"/>
  <c r="G217" i="6"/>
  <c r="H217" i="6"/>
  <c r="I217" i="6"/>
  <c r="J217" i="6"/>
  <c r="K217" i="6"/>
  <c r="L217" i="6"/>
  <c r="M217" i="6"/>
  <c r="N217" i="6"/>
  <c r="O217" i="6"/>
  <c r="F218" i="6"/>
  <c r="G218" i="6"/>
  <c r="H218" i="6"/>
  <c r="I218" i="6"/>
  <c r="J218" i="6"/>
  <c r="K218" i="6"/>
  <c r="L218" i="6"/>
  <c r="M218" i="6"/>
  <c r="N218" i="6"/>
  <c r="O218" i="6"/>
  <c r="F219" i="6"/>
  <c r="G219" i="6"/>
  <c r="H219" i="6"/>
  <c r="I219" i="6"/>
  <c r="J219" i="6"/>
  <c r="K219" i="6"/>
  <c r="L219" i="6"/>
  <c r="M219" i="6"/>
  <c r="N219" i="6"/>
  <c r="O219" i="6"/>
  <c r="F220" i="6"/>
  <c r="G220" i="6"/>
  <c r="H220" i="6"/>
  <c r="I220" i="6"/>
  <c r="J220" i="6"/>
  <c r="K220" i="6"/>
  <c r="L220" i="6"/>
  <c r="M220" i="6"/>
  <c r="N220" i="6"/>
  <c r="O220" i="6"/>
  <c r="F221" i="6"/>
  <c r="G221" i="6"/>
  <c r="H221" i="6"/>
  <c r="I221" i="6"/>
  <c r="J221" i="6"/>
  <c r="K221" i="6"/>
  <c r="L221" i="6"/>
  <c r="M221" i="6"/>
  <c r="N221" i="6"/>
  <c r="O221" i="6"/>
  <c r="F222" i="6"/>
  <c r="G222" i="6"/>
  <c r="H222" i="6"/>
  <c r="I222" i="6"/>
  <c r="J222" i="6"/>
  <c r="K222" i="6"/>
  <c r="L222" i="6"/>
  <c r="M222" i="6"/>
  <c r="N222" i="6"/>
  <c r="O222" i="6"/>
  <c r="F223" i="6"/>
  <c r="G223" i="6"/>
  <c r="H223" i="6"/>
  <c r="I223" i="6"/>
  <c r="J223" i="6"/>
  <c r="K223" i="6"/>
  <c r="L223" i="6"/>
  <c r="M223" i="6"/>
  <c r="N223" i="6"/>
  <c r="O223" i="6"/>
  <c r="F224" i="6"/>
  <c r="G224" i="6"/>
  <c r="H224" i="6"/>
  <c r="I224" i="6"/>
  <c r="J224" i="6"/>
  <c r="K224" i="6"/>
  <c r="L224" i="6"/>
  <c r="M224" i="6"/>
  <c r="N224" i="6"/>
  <c r="O224" i="6"/>
  <c r="F225" i="6"/>
  <c r="G225" i="6"/>
  <c r="H225" i="6"/>
  <c r="I225" i="6"/>
  <c r="J225" i="6"/>
  <c r="K225" i="6"/>
  <c r="L225" i="6"/>
  <c r="M225" i="6"/>
  <c r="N225" i="6"/>
  <c r="O225" i="6"/>
  <c r="F226" i="6"/>
  <c r="G226" i="6"/>
  <c r="H226" i="6"/>
  <c r="I226" i="6"/>
  <c r="J226" i="6"/>
  <c r="K226" i="6"/>
  <c r="L226" i="6"/>
  <c r="M226" i="6"/>
  <c r="N226" i="6"/>
  <c r="O226" i="6"/>
  <c r="F227" i="6"/>
  <c r="G227" i="6"/>
  <c r="H227" i="6"/>
  <c r="I227" i="6"/>
  <c r="J227" i="6"/>
  <c r="K227" i="6"/>
  <c r="L227" i="6"/>
  <c r="M227" i="6"/>
  <c r="N227" i="6"/>
  <c r="O227" i="6"/>
  <c r="F228" i="6"/>
  <c r="G228" i="6"/>
  <c r="H228" i="6"/>
  <c r="I228" i="6"/>
  <c r="J228" i="6"/>
  <c r="K228" i="6"/>
  <c r="L228" i="6"/>
  <c r="M228" i="6"/>
  <c r="N228" i="6"/>
  <c r="O228" i="6"/>
  <c r="F229" i="6"/>
  <c r="G229" i="6"/>
  <c r="H229" i="6"/>
  <c r="I229" i="6"/>
  <c r="J229" i="6"/>
  <c r="K229" i="6"/>
  <c r="L229" i="6"/>
  <c r="M229" i="6"/>
  <c r="N229" i="6"/>
  <c r="O229" i="6"/>
  <c r="F230" i="6"/>
  <c r="G230" i="6"/>
  <c r="H230" i="6"/>
  <c r="I230" i="6"/>
  <c r="J230" i="6"/>
  <c r="K230" i="6"/>
  <c r="L230" i="6"/>
  <c r="M230" i="6"/>
  <c r="N230" i="6"/>
  <c r="O230" i="6"/>
  <c r="F231" i="6"/>
  <c r="G231" i="6"/>
  <c r="H231" i="6"/>
  <c r="I231" i="6"/>
  <c r="J231" i="6"/>
  <c r="K231" i="6"/>
  <c r="L231" i="6"/>
  <c r="M231" i="6"/>
  <c r="N231" i="6"/>
  <c r="O231" i="6"/>
  <c r="F232" i="6"/>
  <c r="G232" i="6"/>
  <c r="H232" i="6"/>
  <c r="I232" i="6"/>
  <c r="J232" i="6"/>
  <c r="K232" i="6"/>
  <c r="L232" i="6"/>
  <c r="M232" i="6"/>
  <c r="N232" i="6"/>
  <c r="O232" i="6"/>
  <c r="F233" i="6"/>
  <c r="G233" i="6"/>
  <c r="H233" i="6"/>
  <c r="I233" i="6"/>
  <c r="J233" i="6"/>
  <c r="K233" i="6"/>
  <c r="L233" i="6"/>
  <c r="M233" i="6"/>
  <c r="N233" i="6"/>
  <c r="O233" i="6"/>
  <c r="F234" i="6"/>
  <c r="G234" i="6"/>
  <c r="H234" i="6"/>
  <c r="I234" i="6"/>
  <c r="J234" i="6"/>
  <c r="K234" i="6"/>
  <c r="L234" i="6"/>
  <c r="M234" i="6"/>
  <c r="N234" i="6"/>
  <c r="O234" i="6"/>
  <c r="F235" i="6"/>
  <c r="G235" i="6"/>
  <c r="H235" i="6"/>
  <c r="I235" i="6"/>
  <c r="J235" i="6"/>
  <c r="K235" i="6"/>
  <c r="L235" i="6"/>
  <c r="M235" i="6"/>
  <c r="N235" i="6"/>
  <c r="O235" i="6"/>
  <c r="F236" i="6"/>
  <c r="G236" i="6"/>
  <c r="H236" i="6"/>
  <c r="I236" i="6"/>
  <c r="J236" i="6"/>
  <c r="K236" i="6"/>
  <c r="L236" i="6"/>
  <c r="M236" i="6"/>
  <c r="N236" i="6"/>
  <c r="O236" i="6"/>
  <c r="F237" i="6"/>
  <c r="G237" i="6"/>
  <c r="H237" i="6"/>
  <c r="I237" i="6"/>
  <c r="J237" i="6"/>
  <c r="K237" i="6"/>
  <c r="L237" i="6"/>
  <c r="M237" i="6"/>
  <c r="N237" i="6"/>
  <c r="O237" i="6"/>
  <c r="F238" i="6"/>
  <c r="G238" i="6"/>
  <c r="H238" i="6"/>
  <c r="I238" i="6"/>
  <c r="J238" i="6"/>
  <c r="K238" i="6"/>
  <c r="L238" i="6"/>
  <c r="M238" i="6"/>
  <c r="N238" i="6"/>
  <c r="O238" i="6"/>
  <c r="F239" i="6"/>
  <c r="G239" i="6"/>
  <c r="H239" i="6"/>
  <c r="I239" i="6"/>
  <c r="J239" i="6"/>
  <c r="K239" i="6"/>
  <c r="L239" i="6"/>
  <c r="M239" i="6"/>
  <c r="N239" i="6"/>
  <c r="O239" i="6"/>
  <c r="F240" i="6"/>
  <c r="G240" i="6"/>
  <c r="H240" i="6"/>
  <c r="I240" i="6"/>
  <c r="J240" i="6"/>
  <c r="K240" i="6"/>
  <c r="L240" i="6"/>
  <c r="M240" i="6"/>
  <c r="N240" i="6"/>
  <c r="O240" i="6"/>
  <c r="F241" i="6"/>
  <c r="G241" i="6"/>
  <c r="H241" i="6"/>
  <c r="I241" i="6"/>
  <c r="J241" i="6"/>
  <c r="K241" i="6"/>
  <c r="L241" i="6"/>
  <c r="M241" i="6"/>
  <c r="N241" i="6"/>
  <c r="O241" i="6"/>
  <c r="F242" i="6"/>
  <c r="G242" i="6"/>
  <c r="H242" i="6"/>
  <c r="I242" i="6"/>
  <c r="J242" i="6"/>
  <c r="K242" i="6"/>
  <c r="L242" i="6"/>
  <c r="M242" i="6"/>
  <c r="N242" i="6"/>
  <c r="O242" i="6"/>
  <c r="F243" i="6"/>
  <c r="G243" i="6"/>
  <c r="H243" i="6"/>
  <c r="I243" i="6"/>
  <c r="J243" i="6"/>
  <c r="K243" i="6"/>
  <c r="L243" i="6"/>
  <c r="M243" i="6"/>
  <c r="N243" i="6"/>
  <c r="O243" i="6"/>
  <c r="F244" i="6"/>
  <c r="G244" i="6"/>
  <c r="H244" i="6"/>
  <c r="I244" i="6"/>
  <c r="J244" i="6"/>
  <c r="K244" i="6"/>
  <c r="L244" i="6"/>
  <c r="M244" i="6"/>
  <c r="N244" i="6"/>
  <c r="O244" i="6"/>
  <c r="F245" i="6"/>
  <c r="G245" i="6"/>
  <c r="H245" i="6"/>
  <c r="I245" i="6"/>
  <c r="J245" i="6"/>
  <c r="K245" i="6"/>
  <c r="L245" i="6"/>
  <c r="M245" i="6"/>
  <c r="N245" i="6"/>
  <c r="O245" i="6"/>
  <c r="F246" i="6"/>
  <c r="G246" i="6"/>
  <c r="H246" i="6"/>
  <c r="I246" i="6"/>
  <c r="J246" i="6"/>
  <c r="K246" i="6"/>
  <c r="L246" i="6"/>
  <c r="M246" i="6"/>
  <c r="N246" i="6"/>
  <c r="O246" i="6"/>
  <c r="F247" i="6"/>
  <c r="G247" i="6"/>
  <c r="H247" i="6"/>
  <c r="I247" i="6"/>
  <c r="J247" i="6"/>
  <c r="K247" i="6"/>
  <c r="L247" i="6"/>
  <c r="M247" i="6"/>
  <c r="N247" i="6"/>
  <c r="O247" i="6"/>
  <c r="F248" i="6"/>
  <c r="G248" i="6"/>
  <c r="H248" i="6"/>
  <c r="I248" i="6"/>
  <c r="J248" i="6"/>
  <c r="K248" i="6"/>
  <c r="L248" i="6"/>
  <c r="M248" i="6"/>
  <c r="N248" i="6"/>
  <c r="O248" i="6"/>
  <c r="F249" i="6"/>
  <c r="G249" i="6"/>
  <c r="H249" i="6"/>
  <c r="I249" i="6"/>
  <c r="J249" i="6"/>
  <c r="K249" i="6"/>
  <c r="L249" i="6"/>
  <c r="M249" i="6"/>
  <c r="N249" i="6"/>
  <c r="O249" i="6"/>
  <c r="F250" i="6"/>
  <c r="G250" i="6"/>
  <c r="H250" i="6"/>
  <c r="I250" i="6"/>
  <c r="J250" i="6"/>
  <c r="K250" i="6"/>
  <c r="L250" i="6"/>
  <c r="M250" i="6"/>
  <c r="N250" i="6"/>
  <c r="O250" i="6"/>
  <c r="F251" i="6"/>
  <c r="G251" i="6"/>
  <c r="H251" i="6"/>
  <c r="I251" i="6"/>
  <c r="J251" i="6"/>
  <c r="K251" i="6"/>
  <c r="L251" i="6"/>
  <c r="M251" i="6"/>
  <c r="N251" i="6"/>
  <c r="O251" i="6"/>
  <c r="F252" i="6"/>
  <c r="G252" i="6"/>
  <c r="H252" i="6"/>
  <c r="I252" i="6"/>
  <c r="J252" i="6"/>
  <c r="K252" i="6"/>
  <c r="L252" i="6"/>
  <c r="M252" i="6"/>
  <c r="N252" i="6"/>
  <c r="O252" i="6"/>
  <c r="F253" i="6"/>
  <c r="G253" i="6"/>
  <c r="H253" i="6"/>
  <c r="I253" i="6"/>
  <c r="J253" i="6"/>
  <c r="K253" i="6"/>
  <c r="L253" i="6"/>
  <c r="M253" i="6"/>
  <c r="N253" i="6"/>
  <c r="O253" i="6"/>
  <c r="F254" i="6"/>
  <c r="G254" i="6"/>
  <c r="H254" i="6"/>
  <c r="I254" i="6"/>
  <c r="J254" i="6"/>
  <c r="K254" i="6"/>
  <c r="L254" i="6"/>
  <c r="M254" i="6"/>
  <c r="N254" i="6"/>
  <c r="O254" i="6"/>
  <c r="G6" i="6"/>
  <c r="H6" i="6"/>
  <c r="I6" i="6"/>
  <c r="J6" i="6"/>
  <c r="K6" i="6"/>
  <c r="L6" i="6"/>
  <c r="M6" i="6"/>
  <c r="N6" i="6"/>
  <c r="O6" i="6"/>
  <c r="F6" i="6"/>
  <c r="G257" i="6"/>
  <c r="H257" i="6"/>
  <c r="I257" i="6"/>
  <c r="J257" i="6"/>
  <c r="K257" i="6"/>
  <c r="L257" i="6"/>
  <c r="M257" i="6"/>
  <c r="N257" i="6"/>
  <c r="O257" i="6"/>
  <c r="F257" i="6"/>
  <c r="D255" i="6"/>
  <c r="C255" i="6"/>
  <c r="C256" i="6"/>
  <c r="R3" i="5"/>
  <c r="Q3" i="5"/>
  <c r="P4" i="5"/>
  <c r="P3" i="5"/>
  <c r="C254" i="5"/>
  <c r="D253" i="5"/>
  <c r="C253" i="5"/>
  <c r="P5" i="5"/>
  <c r="Q5" i="5"/>
  <c r="R5" i="5"/>
  <c r="R4" i="5"/>
  <c r="Q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4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E12" i="4"/>
  <c r="L13" i="2"/>
  <c r="L12" i="2"/>
  <c r="M6" i="2"/>
  <c r="Q6" i="6" l="1" a="1"/>
  <c r="Q6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<sst xmlns="http://schemas.openxmlformats.org/spreadsheetml/2006/main" count="75" uniqueCount="53">
  <si>
    <t>Dates</t>
  </si>
  <si>
    <t>Open</t>
  </si>
  <si>
    <t>High</t>
  </si>
  <si>
    <t>Low</t>
  </si>
  <si>
    <t>Vol.</t>
  </si>
  <si>
    <t>Change</t>
  </si>
  <si>
    <t>Nifty50 Annual Returns last 5 Years</t>
  </si>
  <si>
    <t>Years</t>
  </si>
  <si>
    <t>Return</t>
  </si>
  <si>
    <t>Avg Return</t>
  </si>
  <si>
    <t>B</t>
  </si>
  <si>
    <t>CAPM</t>
  </si>
  <si>
    <t>Swiggy  Ltd.</t>
  </si>
  <si>
    <t>Eternal (Zomato)Ltd.</t>
  </si>
  <si>
    <t>Risk Free Return</t>
  </si>
  <si>
    <r>
      <t>Beta (</t>
    </r>
    <r>
      <rPr>
        <b/>
        <sz val="11"/>
        <color theme="1"/>
        <rFont val="Aptos Narrow"/>
        <family val="2"/>
      </rPr>
      <t>β</t>
    </r>
    <r>
      <rPr>
        <b/>
        <sz val="11"/>
        <color theme="1"/>
        <rFont val="Aptos Narrow"/>
        <family val="2"/>
        <scheme val="minor"/>
      </rPr>
      <t>)</t>
    </r>
  </si>
  <si>
    <t>Market Return</t>
  </si>
  <si>
    <t>Cost of Equity</t>
  </si>
  <si>
    <t>Eternal (Zomato) Ltd.</t>
  </si>
  <si>
    <t>Swiggy Ltd.</t>
  </si>
  <si>
    <t>Risk &amp; Return</t>
  </si>
  <si>
    <t>SD of Prices</t>
  </si>
  <si>
    <t>SD of Returns</t>
  </si>
  <si>
    <t>Covariance of Return</t>
  </si>
  <si>
    <t>Correlation of Return</t>
  </si>
  <si>
    <t>Geo Mean Daily Return</t>
  </si>
  <si>
    <t>Date</t>
  </si>
  <si>
    <t xml:space="preserve">Swiggy Ltd. </t>
  </si>
  <si>
    <t>Eternal Ltd.</t>
  </si>
  <si>
    <t>A</t>
  </si>
  <si>
    <t>Returns</t>
  </si>
  <si>
    <t>A-30%</t>
  </si>
  <si>
    <t>B-70%</t>
  </si>
  <si>
    <t>A-40%</t>
  </si>
  <si>
    <t>B-60%</t>
  </si>
  <si>
    <t>A-50%</t>
  </si>
  <si>
    <t>B-50%</t>
  </si>
  <si>
    <t>Case I</t>
  </si>
  <si>
    <t>Case II</t>
  </si>
  <si>
    <t>Case III</t>
  </si>
  <si>
    <t>SD of Portfolio</t>
  </si>
  <si>
    <t>Mean Return</t>
  </si>
  <si>
    <t>Expected Returns</t>
  </si>
  <si>
    <t>Weightage of Swiggy (A)</t>
  </si>
  <si>
    <t>Mean Daily Avg</t>
  </si>
  <si>
    <t>Expected Annual Return</t>
  </si>
  <si>
    <t>Covariance</t>
  </si>
  <si>
    <t>Cov</t>
  </si>
  <si>
    <t>SD</t>
  </si>
  <si>
    <t xml:space="preserve">SD of Portfolio </t>
  </si>
  <si>
    <t>Share Price Swiggy</t>
  </si>
  <si>
    <t>Share Price Zomato</t>
  </si>
  <si>
    <t>Weightage of Swiggy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</si>
</sst>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0.000%"/>
    <numFmt numFmtId="166" formatCode="0.0%"/>
    <numFmt numFmtId="167" formatCode="0.0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3"/>
      <name val="Aptos Narrow"/>
      <family val="2"/>
      <scheme val="minor"/>
    </font>
    <font>
      <b/>
      <sz val="11"/>
      <color theme="1"/>
      <name val="Aptos Narrow"/>
      <family val="2"/>
    </font>
    <font>
      <sz val="20"/>
      <color theme="1"/>
      <name val="Book Antiqua"/>
      <family val="1"/>
    </font>
    <font>
      <b/>
      <sz val="16"/>
      <color theme="1"/>
      <name val="Californian FB"/>
      <family val="1"/>
    </font>
    <font>
      <sz val="14"/>
      <color theme="1"/>
      <name val="Bookman Old Style"/>
      <family val="1"/>
    </font>
    <font>
      <sz val="14"/>
      <color theme="3"/>
      <name val="Aptos Display"/>
      <family val="2"/>
      <scheme val="major"/>
    </font>
    <font>
      <b/>
      <i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4" tint="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ck">
        <color theme="4" tint="0.499984740745262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4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3" applyNumberFormat="0" applyAlignment="0" applyProtection="0"/>
  </cellStyleXfs>
  <cellXfs count="99">
    <xf numFmtId="0" fontId="0" fillId="0" borderId="0" xfId="0"/>
    <xf numFmtId="0" fontId="3" fillId="0" borderId="1" xfId="5"/>
    <xf numFmtId="0" fontId="0" fillId="0" borderId="4" xfId="0" applyBorder="1"/>
    <xf numFmtId="0" fontId="6" fillId="0" borderId="4" xfId="0" applyFont="1" applyBorder="1"/>
    <xf numFmtId="14" fontId="0" fillId="0" borderId="4" xfId="0" applyNumberFormat="1" applyBorder="1"/>
    <xf numFmtId="10" fontId="0" fillId="0" borderId="4" xfId="0" applyNumberFormat="1" applyBorder="1"/>
    <xf numFmtId="0" fontId="3" fillId="0" borderId="5" xfId="5" applyBorder="1"/>
    <xf numFmtId="0" fontId="0" fillId="0" borderId="6" xfId="0" applyBorder="1"/>
    <xf numFmtId="0" fontId="0" fillId="0" borderId="8" xfId="0" applyBorder="1"/>
    <xf numFmtId="14" fontId="0" fillId="0" borderId="7" xfId="0" applyNumberFormat="1" applyBorder="1"/>
    <xf numFmtId="14" fontId="0" fillId="0" borderId="9" xfId="0" applyNumberFormat="1" applyBorder="1"/>
    <xf numFmtId="10" fontId="0" fillId="0" borderId="7" xfId="0" applyNumberFormat="1" applyBorder="1"/>
    <xf numFmtId="10" fontId="0" fillId="0" borderId="9" xfId="0" applyNumberFormat="1" applyBorder="1"/>
    <xf numFmtId="0" fontId="0" fillId="0" borderId="11" xfId="0" applyBorder="1"/>
    <xf numFmtId="14" fontId="0" fillId="0" borderId="10" xfId="0" applyNumberFormat="1" applyBorder="1"/>
    <xf numFmtId="0" fontId="3" fillId="0" borderId="13" xfId="5" applyBorder="1"/>
    <xf numFmtId="43" fontId="3" fillId="0" borderId="5" xfId="1" applyFont="1" applyBorder="1"/>
    <xf numFmtId="43" fontId="0" fillId="0" borderId="6" xfId="1" applyFont="1" applyBorder="1"/>
    <xf numFmtId="10" fontId="0" fillId="0" borderId="16" xfId="0" applyNumberFormat="1" applyBorder="1"/>
    <xf numFmtId="164" fontId="0" fillId="0" borderId="16" xfId="0" applyNumberFormat="1" applyBorder="1"/>
    <xf numFmtId="43" fontId="0" fillId="0" borderId="16" xfId="1" applyFont="1" applyBorder="1"/>
    <xf numFmtId="164" fontId="0" fillId="0" borderId="9" xfId="0" applyNumberFormat="1" applyBorder="1"/>
    <xf numFmtId="43" fontId="0" fillId="0" borderId="9" xfId="1" applyFont="1" applyBorder="1"/>
    <xf numFmtId="10" fontId="0" fillId="0" borderId="17" xfId="0" applyNumberFormat="1" applyBorder="1"/>
    <xf numFmtId="164" fontId="0" fillId="0" borderId="17" xfId="0" applyNumberFormat="1" applyBorder="1"/>
    <xf numFmtId="43" fontId="0" fillId="0" borderId="17" xfId="1" applyFont="1" applyBorder="1"/>
    <xf numFmtId="44" fontId="0" fillId="0" borderId="7" xfId="2" applyFont="1" applyBorder="1"/>
    <xf numFmtId="43" fontId="0" fillId="0" borderId="18" xfId="1" applyFont="1" applyBorder="1"/>
    <xf numFmtId="44" fontId="0" fillId="0" borderId="9" xfId="2" applyFont="1" applyBorder="1"/>
    <xf numFmtId="44" fontId="0" fillId="0" borderId="17" xfId="2" applyFont="1" applyBorder="1"/>
    <xf numFmtId="165" fontId="0" fillId="0" borderId="4" xfId="0" applyNumberFormat="1" applyBorder="1"/>
    <xf numFmtId="10" fontId="0" fillId="0" borderId="4" xfId="3" applyNumberFormat="1" applyFont="1" applyBorder="1"/>
    <xf numFmtId="0" fontId="0" fillId="0" borderId="14" xfId="0" applyBorder="1"/>
    <xf numFmtId="164" fontId="0" fillId="0" borderId="4" xfId="3" applyNumberFormat="1" applyFont="1" applyBorder="1"/>
    <xf numFmtId="165" fontId="0" fillId="0" borderId="4" xfId="3" applyNumberFormat="1" applyFont="1" applyBorder="1"/>
    <xf numFmtId="0" fontId="6" fillId="0" borderId="19" xfId="0" applyFont="1" applyBorder="1"/>
    <xf numFmtId="10" fontId="0" fillId="0" borderId="19" xfId="0" applyNumberFormat="1" applyBorder="1"/>
    <xf numFmtId="164" fontId="0" fillId="0" borderId="19" xfId="3" applyNumberFormat="1" applyFont="1" applyBorder="1"/>
    <xf numFmtId="0" fontId="6" fillId="0" borderId="15" xfId="0" applyFont="1" applyBorder="1"/>
    <xf numFmtId="167" fontId="0" fillId="0" borderId="19" xfId="3" applyNumberFormat="1" applyFont="1" applyBorder="1"/>
    <xf numFmtId="0" fontId="6" fillId="0" borderId="20" xfId="0" applyFont="1" applyBorder="1"/>
    <xf numFmtId="0" fontId="6" fillId="0" borderId="21" xfId="0" applyFont="1" applyBorder="1"/>
    <xf numFmtId="0" fontId="14" fillId="0" borderId="4" xfId="0" applyFont="1" applyBorder="1"/>
    <xf numFmtId="14" fontId="0" fillId="0" borderId="11" xfId="0" applyNumberFormat="1" applyBorder="1"/>
    <xf numFmtId="0" fontId="4" fillId="0" borderId="2" xfId="6"/>
    <xf numFmtId="9" fontId="16" fillId="3" borderId="4" xfId="0" applyNumberFormat="1" applyFont="1" applyFill="1" applyBorder="1"/>
    <xf numFmtId="166" fontId="0" fillId="0" borderId="4" xfId="0" applyNumberFormat="1" applyBorder="1"/>
    <xf numFmtId="0" fontId="6" fillId="0" borderId="6" xfId="0" applyFont="1" applyBorder="1"/>
    <xf numFmtId="0" fontId="2" fillId="0" borderId="4" xfId="4" applyBorder="1" applyAlignment="1"/>
    <xf numFmtId="0" fontId="7" fillId="0" borderId="4" xfId="0" applyFont="1" applyBorder="1"/>
    <xf numFmtId="0" fontId="6" fillId="4" borderId="4" xfId="0" applyFont="1" applyFill="1" applyBorder="1"/>
    <xf numFmtId="10" fontId="6" fillId="5" borderId="4" xfId="0" applyNumberFormat="1" applyFont="1" applyFill="1" applyBorder="1"/>
    <xf numFmtId="0" fontId="7" fillId="0" borderId="8" xfId="0" applyFont="1" applyBorder="1"/>
    <xf numFmtId="0" fontId="7" fillId="0" borderId="6" xfId="0" applyFont="1" applyBorder="1"/>
    <xf numFmtId="0" fontId="8" fillId="0" borderId="19" xfId="0" applyFont="1" applyBorder="1"/>
    <xf numFmtId="0" fontId="9" fillId="0" borderId="19" xfId="0" applyFont="1" applyBorder="1"/>
    <xf numFmtId="0" fontId="7" fillId="0" borderId="19" xfId="0" applyFont="1" applyBorder="1"/>
    <xf numFmtId="0" fontId="9" fillId="6" borderId="19" xfId="0" applyFont="1" applyFill="1" applyBorder="1"/>
    <xf numFmtId="10" fontId="7" fillId="0" borderId="19" xfId="0" applyNumberFormat="1" applyFont="1" applyBorder="1"/>
    <xf numFmtId="10" fontId="7" fillId="7" borderId="19" xfId="0" applyNumberFormat="1" applyFont="1" applyFill="1" applyBorder="1"/>
    <xf numFmtId="0" fontId="5" fillId="2" borderId="19" xfId="8" applyBorder="1"/>
    <xf numFmtId="0" fontId="0" fillId="0" borderId="19" xfId="0" applyBorder="1"/>
    <xf numFmtId="165" fontId="0" fillId="0" borderId="19" xfId="0" applyNumberFormat="1" applyBorder="1"/>
    <xf numFmtId="10" fontId="0" fillId="0" borderId="19" xfId="3" applyNumberFormat="1" applyFont="1" applyBorder="1"/>
    <xf numFmtId="165" fontId="0" fillId="0" borderId="11" xfId="3" applyNumberFormat="1" applyFont="1" applyBorder="1"/>
    <xf numFmtId="0" fontId="6" fillId="0" borderId="29" xfId="0" applyFont="1" applyBorder="1"/>
    <xf numFmtId="0" fontId="6" fillId="0" borderId="30" xfId="0" applyFont="1" applyBorder="1" applyAlignment="1">
      <alignment horizontal="center"/>
    </xf>
    <xf numFmtId="0" fontId="6" fillId="0" borderId="31" xfId="0" applyFont="1" applyBorder="1"/>
    <xf numFmtId="165" fontId="6" fillId="0" borderId="4" xfId="3" applyNumberFormat="1" applyFont="1" applyBorder="1"/>
    <xf numFmtId="9" fontId="6" fillId="0" borderId="4" xfId="0" applyNumberFormat="1" applyFont="1" applyBorder="1"/>
    <xf numFmtId="0" fontId="6" fillId="0" borderId="8" xfId="0" applyFon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4" applyBorder="1" applyAlignment="1">
      <alignment horizontal="center"/>
    </xf>
    <xf numFmtId="0" fontId="10" fillId="0" borderId="4" xfId="7" applyFont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10" fontId="0" fillId="0" borderId="4" xfId="0" applyNumberFormat="1" applyBorder="1" applyAlignment="1">
      <alignment horizontal="right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24" xfId="0" applyFont="1" applyBorder="1" applyAlignment="1">
      <alignment horizontal="center"/>
    </xf>
    <xf numFmtId="10" fontId="0" fillId="0" borderId="25" xfId="0" applyNumberFormat="1" applyBorder="1" applyAlignment="1">
      <alignment horizontal="right"/>
    </xf>
    <xf numFmtId="10" fontId="0" fillId="0" borderId="26" xfId="0" applyNumberFormat="1" applyBorder="1" applyAlignment="1">
      <alignment horizontal="right"/>
    </xf>
    <xf numFmtId="10" fontId="0" fillId="0" borderId="25" xfId="3" applyNumberFormat="1" applyFont="1" applyBorder="1" applyAlignment="1">
      <alignment horizontal="right"/>
    </xf>
    <xf numFmtId="10" fontId="0" fillId="0" borderId="26" xfId="3" applyNumberFormat="1" applyFont="1" applyBorder="1" applyAlignment="1">
      <alignment horizontal="right"/>
    </xf>
    <xf numFmtId="10" fontId="0" fillId="0" borderId="4" xfId="3" applyNumberFormat="1" applyFont="1" applyBorder="1" applyAlignment="1">
      <alignment horizontal="right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5" fillId="0" borderId="8" xfId="4" applyFont="1" applyBorder="1" applyAlignment="1">
      <alignment horizontal="center"/>
    </xf>
    <xf numFmtId="0" fontId="15" fillId="0" borderId="12" xfId="4" applyFont="1" applyBorder="1" applyAlignment="1">
      <alignment horizontal="center"/>
    </xf>
    <xf numFmtId="0" fontId="15" fillId="0" borderId="6" xfId="4" applyFont="1" applyBorder="1" applyAlignment="1">
      <alignment horizontal="center"/>
    </xf>
    <xf numFmtId="10" fontId="6" fillId="0" borderId="8" xfId="3" applyNumberFormat="1" applyFont="1" applyBorder="1" applyAlignment="1">
      <alignment horizontal="center"/>
    </xf>
    <xf numFmtId="10" fontId="6" fillId="0" borderId="6" xfId="3" applyNumberFormat="1" applyFont="1" applyBorder="1" applyAlignment="1">
      <alignment horizontal="center"/>
    </xf>
  </cellXfs>
  <cellStyles count="9">
    <cellStyle name="Comma" xfId="1" builtinId="3"/>
    <cellStyle name="Currency" xfId="2" builtinId="4"/>
    <cellStyle name="Heading 2" xfId="5" builtinId="17"/>
    <cellStyle name="Heading 3" xfId="6" builtinId="18"/>
    <cellStyle name="Heading 4" xfId="7" builtinId="19"/>
    <cellStyle name="Normal" xfId="0" builtinId="0"/>
    <cellStyle name="Output" xfId="8" builtinId="21"/>
    <cellStyle name="Percent" xfId="3" builtinId="5"/>
    <cellStyle name="Title" xfId="4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Graphs!$C$3</c:f>
              <c:strCache>
                <c:ptCount val="1"/>
                <c:pt idx="0">
                  <c:v>Expected Annual 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Graphs!$B$4:$B$13</c:f>
              <c:numCache>
                <c:formatCode>0.000%</c:formatCode>
                <c:ptCount val="10"/>
                <c:pt idx="0">
                  <c:v>2.1267812605554978E-2</c:v>
                </c:pt>
                <c:pt idx="1">
                  <c:v>2.067356746417549E-2</c:v>
                </c:pt>
                <c:pt idx="2">
                  <c:v>2.0306203166323311E-2</c:v>
                </c:pt>
                <c:pt idx="3">
                  <c:v>2.0178115348900984E-2</c:v>
                </c:pt>
                <c:pt idx="4">
                  <c:v>2.0293835214184607E-2</c:v>
                </c:pt>
                <c:pt idx="5">
                  <c:v>2.0649264224973637E-2</c:v>
                </c:pt>
                <c:pt idx="6">
                  <c:v>2.1232367626584751E-2</c:v>
                </c:pt>
                <c:pt idx="7">
                  <c:v>2.2025070117788124E-2</c:v>
                </c:pt>
                <c:pt idx="8">
                  <c:v>2.3005715572915652E-2</c:v>
                </c:pt>
                <c:pt idx="9">
                  <c:v>2.4151421097228939E-2</c:v>
                </c:pt>
              </c:numCache>
            </c:numRef>
          </c:xVal>
          <c:yVal>
            <c:numRef>
              <c:f>Graphs!$C$4:$C$13</c:f>
              <c:numCache>
                <c:formatCode>0.000%</c:formatCode>
                <c:ptCount val="10"/>
                <c:pt idx="0">
                  <c:v>7.0514102151370661E-2</c:v>
                </c:pt>
                <c:pt idx="1">
                  <c:v>4.8457179992631882E-2</c:v>
                </c:pt>
                <c:pt idx="2">
                  <c:v>2.5621891796510976E-2</c:v>
                </c:pt>
                <c:pt idx="3">
                  <c:v>2.0805173510534125E-3</c:v>
                </c:pt>
                <c:pt idx="4">
                  <c:v>-2.2093983624617564E-2</c:v>
                </c:pt>
                <c:pt idx="5">
                  <c:v>-4.6828321545491991E-2</c:v>
                </c:pt>
                <c:pt idx="6">
                  <c:v>-7.2049219555264332E-2</c:v>
                </c:pt>
                <c:pt idx="7">
                  <c:v>-9.7683746592395537E-2</c:v>
                </c:pt>
                <c:pt idx="8">
                  <c:v>-0.12365963899938681</c:v>
                </c:pt>
                <c:pt idx="9">
                  <c:v>-0.14990560889151039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33-45D6-A54B-19AA6D44E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818736"/>
        <c:axId val="1021807696"/>
      </c:scatterChart>
      <c:valAx>
        <c:axId val="102181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07696"/>
        <c:crosses val="autoZero"/>
        <c:crossBetween val="midCat"/>
      </c:valAx>
      <c:valAx>
        <c:axId val="10218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81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 Price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Data'!$D$3</c:f>
              <c:strCache>
                <c:ptCount val="1"/>
                <c:pt idx="0">
                  <c:v>Share Price Swiggy</c:v>
                </c:pt>
              </c:strCache>
            </c:strRef>
          </c:tx>
          <c:spPr>
            <a:ln w="28575" cap="rnd">
              <a:solidFill>
                <a:schemeClr val="accent1">
                  <a:alpha val="8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'Historical Data'!$D$4:$D$252</c:f>
              <c:numCache>
                <c:formatCode>"₹"\ #,##0.00</c:formatCode>
                <c:ptCount val="249"/>
                <c:pt idx="0">
                  <c:v>344.45</c:v>
                </c:pt>
                <c:pt idx="1">
                  <c:v>334.65</c:v>
                </c:pt>
                <c:pt idx="2">
                  <c:v>326.3</c:v>
                </c:pt>
                <c:pt idx="3">
                  <c:v>350.05</c:v>
                </c:pt>
                <c:pt idx="4">
                  <c:v>358.5</c:v>
                </c:pt>
                <c:pt idx="5">
                  <c:v>362.55</c:v>
                </c:pt>
                <c:pt idx="6">
                  <c:v>360.95</c:v>
                </c:pt>
                <c:pt idx="7">
                  <c:v>359.65</c:v>
                </c:pt>
                <c:pt idx="8">
                  <c:v>352.85</c:v>
                </c:pt>
                <c:pt idx="9">
                  <c:v>348.8</c:v>
                </c:pt>
                <c:pt idx="10">
                  <c:v>353.2</c:v>
                </c:pt>
                <c:pt idx="11">
                  <c:v>354.7</c:v>
                </c:pt>
                <c:pt idx="12">
                  <c:v>356.05</c:v>
                </c:pt>
                <c:pt idx="13">
                  <c:v>360.6</c:v>
                </c:pt>
                <c:pt idx="14">
                  <c:v>354.35</c:v>
                </c:pt>
                <c:pt idx="15">
                  <c:v>350.65</c:v>
                </c:pt>
                <c:pt idx="16">
                  <c:v>351.45</c:v>
                </c:pt>
                <c:pt idx="17">
                  <c:v>337.5</c:v>
                </c:pt>
                <c:pt idx="18">
                  <c:v>323.85000000000002</c:v>
                </c:pt>
                <c:pt idx="19">
                  <c:v>335.75</c:v>
                </c:pt>
                <c:pt idx="20">
                  <c:v>330.2</c:v>
                </c:pt>
                <c:pt idx="21">
                  <c:v>331.9</c:v>
                </c:pt>
                <c:pt idx="22">
                  <c:v>344.6</c:v>
                </c:pt>
                <c:pt idx="23">
                  <c:v>345.15</c:v>
                </c:pt>
                <c:pt idx="24">
                  <c:v>337.35</c:v>
                </c:pt>
                <c:pt idx="25">
                  <c:v>321.7</c:v>
                </c:pt>
                <c:pt idx="26">
                  <c:v>333.3</c:v>
                </c:pt>
                <c:pt idx="27">
                  <c:v>339.75</c:v>
                </c:pt>
                <c:pt idx="28">
                  <c:v>333</c:v>
                </c:pt>
                <c:pt idx="29">
                  <c:v>334</c:v>
                </c:pt>
                <c:pt idx="30">
                  <c:v>336.25</c:v>
                </c:pt>
                <c:pt idx="31">
                  <c:v>340.8</c:v>
                </c:pt>
                <c:pt idx="32">
                  <c:v>343.85</c:v>
                </c:pt>
                <c:pt idx="33">
                  <c:v>343.35</c:v>
                </c:pt>
                <c:pt idx="34">
                  <c:v>348.05</c:v>
                </c:pt>
                <c:pt idx="35">
                  <c:v>340.6</c:v>
                </c:pt>
                <c:pt idx="36">
                  <c:v>321.39999999999998</c:v>
                </c:pt>
                <c:pt idx="37">
                  <c:v>323.75</c:v>
                </c:pt>
                <c:pt idx="38">
                  <c:v>319.85000000000002</c:v>
                </c:pt>
                <c:pt idx="39">
                  <c:v>316.39999999999998</c:v>
                </c:pt>
                <c:pt idx="40">
                  <c:v>305.3</c:v>
                </c:pt>
                <c:pt idx="41">
                  <c:v>343.95</c:v>
                </c:pt>
                <c:pt idx="42">
                  <c:v>342.5</c:v>
                </c:pt>
                <c:pt idx="43">
                  <c:v>328.8</c:v>
                </c:pt>
                <c:pt idx="44">
                  <c:v>315.2</c:v>
                </c:pt>
                <c:pt idx="45">
                  <c:v>313.10000000000002</c:v>
                </c:pt>
                <c:pt idx="46">
                  <c:v>320.3</c:v>
                </c:pt>
                <c:pt idx="47">
                  <c:v>310.55</c:v>
                </c:pt>
                <c:pt idx="48">
                  <c:v>307.3</c:v>
                </c:pt>
                <c:pt idx="49">
                  <c:v>316.25</c:v>
                </c:pt>
                <c:pt idx="50">
                  <c:v>321.2</c:v>
                </c:pt>
                <c:pt idx="51">
                  <c:v>323.5</c:v>
                </c:pt>
                <c:pt idx="52">
                  <c:v>311.35000000000002</c:v>
                </c:pt>
                <c:pt idx="53">
                  <c:v>313.8</c:v>
                </c:pt>
                <c:pt idx="54">
                  <c:v>315.05</c:v>
                </c:pt>
                <c:pt idx="55">
                  <c:v>323.64999999999998</c:v>
                </c:pt>
                <c:pt idx="56">
                  <c:v>320.85000000000002</c:v>
                </c:pt>
                <c:pt idx="57">
                  <c:v>320.14999999999998</c:v>
                </c:pt>
                <c:pt idx="58">
                  <c:v>320.2</c:v>
                </c:pt>
                <c:pt idx="59">
                  <c:v>328.85</c:v>
                </c:pt>
                <c:pt idx="60">
                  <c:v>333.05</c:v>
                </c:pt>
                <c:pt idx="61">
                  <c:v>333.3</c:v>
                </c:pt>
                <c:pt idx="62">
                  <c:v>333.2</c:v>
                </c:pt>
                <c:pt idx="63">
                  <c:v>362.75</c:v>
                </c:pt>
                <c:pt idx="64">
                  <c:v>364.15</c:v>
                </c:pt>
                <c:pt idx="65">
                  <c:v>374.45</c:v>
                </c:pt>
                <c:pt idx="66">
                  <c:v>364.6</c:v>
                </c:pt>
                <c:pt idx="67">
                  <c:v>361.6</c:v>
                </c:pt>
                <c:pt idx="68">
                  <c:v>356.05</c:v>
                </c:pt>
                <c:pt idx="69">
                  <c:v>356.1</c:v>
                </c:pt>
                <c:pt idx="70">
                  <c:v>354.2</c:v>
                </c:pt>
                <c:pt idx="71">
                  <c:v>360.95</c:v>
                </c:pt>
                <c:pt idx="72">
                  <c:v>355.75</c:v>
                </c:pt>
                <c:pt idx="73">
                  <c:v>365.4</c:v>
                </c:pt>
                <c:pt idx="74">
                  <c:v>374.15</c:v>
                </c:pt>
                <c:pt idx="75">
                  <c:v>389.5</c:v>
                </c:pt>
                <c:pt idx="76">
                  <c:v>389</c:v>
                </c:pt>
                <c:pt idx="77">
                  <c:v>391.15</c:v>
                </c:pt>
                <c:pt idx="78">
                  <c:v>399.95</c:v>
                </c:pt>
                <c:pt idx="79">
                  <c:v>405.25</c:v>
                </c:pt>
                <c:pt idx="80">
                  <c:v>406.95</c:v>
                </c:pt>
                <c:pt idx="81">
                  <c:v>400.4</c:v>
                </c:pt>
                <c:pt idx="82">
                  <c:v>393.45</c:v>
                </c:pt>
                <c:pt idx="83">
                  <c:v>381.55</c:v>
                </c:pt>
                <c:pt idx="84">
                  <c:v>386</c:v>
                </c:pt>
                <c:pt idx="85">
                  <c:v>383.5</c:v>
                </c:pt>
                <c:pt idx="86">
                  <c:v>376.65</c:v>
                </c:pt>
                <c:pt idx="87">
                  <c:v>381.45</c:v>
                </c:pt>
                <c:pt idx="88">
                  <c:v>380.15</c:v>
                </c:pt>
                <c:pt idx="89">
                  <c:v>384.35</c:v>
                </c:pt>
                <c:pt idx="90">
                  <c:v>385.1</c:v>
                </c:pt>
                <c:pt idx="91">
                  <c:v>393.05</c:v>
                </c:pt>
                <c:pt idx="92">
                  <c:v>388.45</c:v>
                </c:pt>
                <c:pt idx="93">
                  <c:v>389.85</c:v>
                </c:pt>
                <c:pt idx="94">
                  <c:v>385.65</c:v>
                </c:pt>
                <c:pt idx="95">
                  <c:v>388.8</c:v>
                </c:pt>
                <c:pt idx="96">
                  <c:v>394.75</c:v>
                </c:pt>
                <c:pt idx="97">
                  <c:v>417.15</c:v>
                </c:pt>
                <c:pt idx="98">
                  <c:v>418.7</c:v>
                </c:pt>
                <c:pt idx="99">
                  <c:v>419.25</c:v>
                </c:pt>
                <c:pt idx="100">
                  <c:v>407.95</c:v>
                </c:pt>
                <c:pt idx="101">
                  <c:v>407.1</c:v>
                </c:pt>
                <c:pt idx="102">
                  <c:v>413.8</c:v>
                </c:pt>
                <c:pt idx="103">
                  <c:v>401.1</c:v>
                </c:pt>
                <c:pt idx="104">
                  <c:v>403.75</c:v>
                </c:pt>
                <c:pt idx="105">
                  <c:v>392.35</c:v>
                </c:pt>
                <c:pt idx="106">
                  <c:v>399.2</c:v>
                </c:pt>
                <c:pt idx="107">
                  <c:v>385.55</c:v>
                </c:pt>
                <c:pt idx="108">
                  <c:v>393.95</c:v>
                </c:pt>
                <c:pt idx="109">
                  <c:v>398.5</c:v>
                </c:pt>
                <c:pt idx="110">
                  <c:v>384.8</c:v>
                </c:pt>
                <c:pt idx="111">
                  <c:v>400.7</c:v>
                </c:pt>
                <c:pt idx="112">
                  <c:v>393.25</c:v>
                </c:pt>
                <c:pt idx="113">
                  <c:v>400.4</c:v>
                </c:pt>
                <c:pt idx="114">
                  <c:v>398.4</c:v>
                </c:pt>
                <c:pt idx="115">
                  <c:v>399.85</c:v>
                </c:pt>
                <c:pt idx="116">
                  <c:v>409.7</c:v>
                </c:pt>
                <c:pt idx="117">
                  <c:v>421.05</c:v>
                </c:pt>
                <c:pt idx="118">
                  <c:v>435.7</c:v>
                </c:pt>
                <c:pt idx="119">
                  <c:v>427.9</c:v>
                </c:pt>
                <c:pt idx="120">
                  <c:v>425.65</c:v>
                </c:pt>
                <c:pt idx="121">
                  <c:v>430.55</c:v>
                </c:pt>
                <c:pt idx="122">
                  <c:v>421</c:v>
                </c:pt>
                <c:pt idx="123">
                  <c:v>409.75</c:v>
                </c:pt>
                <c:pt idx="124">
                  <c:v>428.5</c:v>
                </c:pt>
                <c:pt idx="125">
                  <c:v>425.95</c:v>
                </c:pt>
                <c:pt idx="126">
                  <c:v>430.6</c:v>
                </c:pt>
                <c:pt idx="127">
                  <c:v>423.1</c:v>
                </c:pt>
                <c:pt idx="128">
                  <c:v>439.05</c:v>
                </c:pt>
                <c:pt idx="129">
                  <c:v>443.15</c:v>
                </c:pt>
                <c:pt idx="130">
                  <c:v>436.65</c:v>
                </c:pt>
                <c:pt idx="131">
                  <c:v>423.9</c:v>
                </c:pt>
                <c:pt idx="132">
                  <c:v>423.7</c:v>
                </c:pt>
                <c:pt idx="133">
                  <c:v>420.55</c:v>
                </c:pt>
                <c:pt idx="134">
                  <c:v>424.85</c:v>
                </c:pt>
                <c:pt idx="135">
                  <c:v>437.2</c:v>
                </c:pt>
                <c:pt idx="136">
                  <c:v>440.95</c:v>
                </c:pt>
                <c:pt idx="137">
                  <c:v>444.5</c:v>
                </c:pt>
                <c:pt idx="138">
                  <c:v>458.45</c:v>
                </c:pt>
                <c:pt idx="139">
                  <c:v>449.55</c:v>
                </c:pt>
                <c:pt idx="140">
                  <c:v>449.2</c:v>
                </c:pt>
                <c:pt idx="141">
                  <c:v>438.45</c:v>
                </c:pt>
                <c:pt idx="142">
                  <c:v>426.1</c:v>
                </c:pt>
                <c:pt idx="143">
                  <c:v>420.65</c:v>
                </c:pt>
                <c:pt idx="144">
                  <c:v>416.5</c:v>
                </c:pt>
                <c:pt idx="145">
                  <c:v>422.95</c:v>
                </c:pt>
                <c:pt idx="146">
                  <c:v>417.75</c:v>
                </c:pt>
                <c:pt idx="147">
                  <c:v>413.85</c:v>
                </c:pt>
                <c:pt idx="148">
                  <c:v>421.55</c:v>
                </c:pt>
                <c:pt idx="149">
                  <c:v>420.75</c:v>
                </c:pt>
                <c:pt idx="150">
                  <c:v>420.9</c:v>
                </c:pt>
                <c:pt idx="151">
                  <c:v>436.9</c:v>
                </c:pt>
                <c:pt idx="152">
                  <c:v>435.55</c:v>
                </c:pt>
                <c:pt idx="153">
                  <c:v>434.8</c:v>
                </c:pt>
                <c:pt idx="154">
                  <c:v>440.15</c:v>
                </c:pt>
                <c:pt idx="155">
                  <c:v>442.7</c:v>
                </c:pt>
                <c:pt idx="156">
                  <c:v>448.4</c:v>
                </c:pt>
                <c:pt idx="157">
                  <c:v>432.15</c:v>
                </c:pt>
                <c:pt idx="158">
                  <c:v>421.9</c:v>
                </c:pt>
                <c:pt idx="159">
                  <c:v>432.1</c:v>
                </c:pt>
                <c:pt idx="160">
                  <c:v>424.3</c:v>
                </c:pt>
                <c:pt idx="161">
                  <c:v>424.9</c:v>
                </c:pt>
                <c:pt idx="162">
                  <c:v>425.65</c:v>
                </c:pt>
                <c:pt idx="163">
                  <c:v>422.1</c:v>
                </c:pt>
                <c:pt idx="164">
                  <c:v>418.95</c:v>
                </c:pt>
                <c:pt idx="165">
                  <c:v>417.95</c:v>
                </c:pt>
                <c:pt idx="166">
                  <c:v>409.95</c:v>
                </c:pt>
                <c:pt idx="167">
                  <c:v>402.45</c:v>
                </c:pt>
                <c:pt idx="168">
                  <c:v>413.35</c:v>
                </c:pt>
                <c:pt idx="169">
                  <c:v>403.95</c:v>
                </c:pt>
                <c:pt idx="170">
                  <c:v>401.4</c:v>
                </c:pt>
                <c:pt idx="171">
                  <c:v>386.95</c:v>
                </c:pt>
                <c:pt idx="172">
                  <c:v>394.25</c:v>
                </c:pt>
                <c:pt idx="173">
                  <c:v>395.75</c:v>
                </c:pt>
                <c:pt idx="174">
                  <c:v>383.1</c:v>
                </c:pt>
                <c:pt idx="175">
                  <c:v>393.1</c:v>
                </c:pt>
                <c:pt idx="176">
                  <c:v>394.8</c:v>
                </c:pt>
                <c:pt idx="177">
                  <c:v>393.35</c:v>
                </c:pt>
                <c:pt idx="178">
                  <c:v>397</c:v>
                </c:pt>
                <c:pt idx="179">
                  <c:v>395.5</c:v>
                </c:pt>
                <c:pt idx="180">
                  <c:v>385.45</c:v>
                </c:pt>
                <c:pt idx="181">
                  <c:v>404.6</c:v>
                </c:pt>
                <c:pt idx="182">
                  <c:v>394.6</c:v>
                </c:pt>
                <c:pt idx="183">
                  <c:v>392.4</c:v>
                </c:pt>
                <c:pt idx="184">
                  <c:v>386.65</c:v>
                </c:pt>
                <c:pt idx="185">
                  <c:v>378.3</c:v>
                </c:pt>
                <c:pt idx="186">
                  <c:v>388.65</c:v>
                </c:pt>
                <c:pt idx="187">
                  <c:v>399.4</c:v>
                </c:pt>
                <c:pt idx="188">
                  <c:v>403.25</c:v>
                </c:pt>
                <c:pt idx="189">
                  <c:v>401.55</c:v>
                </c:pt>
                <c:pt idx="190">
                  <c:v>394.4</c:v>
                </c:pt>
                <c:pt idx="191">
                  <c:v>385.9</c:v>
                </c:pt>
                <c:pt idx="192">
                  <c:v>398.05</c:v>
                </c:pt>
                <c:pt idx="193">
                  <c:v>395.5</c:v>
                </c:pt>
                <c:pt idx="194">
                  <c:v>401.2</c:v>
                </c:pt>
                <c:pt idx="195">
                  <c:v>416.5</c:v>
                </c:pt>
                <c:pt idx="196">
                  <c:v>413.4</c:v>
                </c:pt>
                <c:pt idx="197">
                  <c:v>396.25</c:v>
                </c:pt>
                <c:pt idx="198">
                  <c:v>398.95</c:v>
                </c:pt>
                <c:pt idx="199">
                  <c:v>410.7</c:v>
                </c:pt>
                <c:pt idx="200">
                  <c:v>412.2</c:v>
                </c:pt>
                <c:pt idx="201">
                  <c:v>406.4</c:v>
                </c:pt>
                <c:pt idx="202">
                  <c:v>405.05</c:v>
                </c:pt>
                <c:pt idx="203">
                  <c:v>400.05</c:v>
                </c:pt>
                <c:pt idx="204">
                  <c:v>391.9</c:v>
                </c:pt>
                <c:pt idx="205">
                  <c:v>394.85</c:v>
                </c:pt>
                <c:pt idx="206">
                  <c:v>394.05</c:v>
                </c:pt>
                <c:pt idx="207">
                  <c:v>386.25</c:v>
                </c:pt>
                <c:pt idx="208">
                  <c:v>390.7</c:v>
                </c:pt>
                <c:pt idx="209">
                  <c:v>387.2</c:v>
                </c:pt>
                <c:pt idx="210">
                  <c:v>378.4</c:v>
                </c:pt>
                <c:pt idx="211">
                  <c:v>361</c:v>
                </c:pt>
                <c:pt idx="212">
                  <c:v>361.9</c:v>
                </c:pt>
                <c:pt idx="213">
                  <c:v>352.85</c:v>
                </c:pt>
                <c:pt idx="214">
                  <c:v>351.65</c:v>
                </c:pt>
                <c:pt idx="215">
                  <c:v>349.6</c:v>
                </c:pt>
                <c:pt idx="216">
                  <c:v>350.35</c:v>
                </c:pt>
                <c:pt idx="217">
                  <c:v>347.05</c:v>
                </c:pt>
                <c:pt idx="218">
                  <c:v>340.25</c:v>
                </c:pt>
                <c:pt idx="219">
                  <c:v>333.8</c:v>
                </c:pt>
                <c:pt idx="220">
                  <c:v>326.10000000000002</c:v>
                </c:pt>
                <c:pt idx="221">
                  <c:v>334.55</c:v>
                </c:pt>
                <c:pt idx="222">
                  <c:v>320.3</c:v>
                </c:pt>
                <c:pt idx="223">
                  <c:v>311.75</c:v>
                </c:pt>
                <c:pt idx="224">
                  <c:v>312.25</c:v>
                </c:pt>
                <c:pt idx="225">
                  <c:v>323.5</c:v>
                </c:pt>
                <c:pt idx="226">
                  <c:v>327.64999999999998</c:v>
                </c:pt>
                <c:pt idx="227">
                  <c:v>309.75</c:v>
                </c:pt>
                <c:pt idx="228">
                  <c:v>314.35000000000002</c:v>
                </c:pt>
                <c:pt idx="229">
                  <c:v>306.39999999999998</c:v>
                </c:pt>
                <c:pt idx="230">
                  <c:v>317.75</c:v>
                </c:pt>
                <c:pt idx="231">
                  <c:v>321.10000000000002</c:v>
                </c:pt>
                <c:pt idx="232">
                  <c:v>321.45</c:v>
                </c:pt>
                <c:pt idx="233">
                  <c:v>320</c:v>
                </c:pt>
                <c:pt idx="234">
                  <c:v>333.7</c:v>
                </c:pt>
                <c:pt idx="235">
                  <c:v>355.75</c:v>
                </c:pt>
                <c:pt idx="236">
                  <c:v>342.3</c:v>
                </c:pt>
                <c:pt idx="237">
                  <c:v>337.35</c:v>
                </c:pt>
                <c:pt idx="238">
                  <c:v>337.65</c:v>
                </c:pt>
                <c:pt idx="239">
                  <c:v>342</c:v>
                </c:pt>
                <c:pt idx="240">
                  <c:v>330.7</c:v>
                </c:pt>
                <c:pt idx="241">
                  <c:v>333.95</c:v>
                </c:pt>
                <c:pt idx="242">
                  <c:v>326.64999999999998</c:v>
                </c:pt>
                <c:pt idx="243">
                  <c:v>323.8</c:v>
                </c:pt>
                <c:pt idx="244">
                  <c:v>321.10000000000002</c:v>
                </c:pt>
                <c:pt idx="245">
                  <c:v>314</c:v>
                </c:pt>
                <c:pt idx="246">
                  <c:v>307.39999999999998</c:v>
                </c:pt>
                <c:pt idx="247">
                  <c:v>307.05</c:v>
                </c:pt>
                <c:pt idx="248">
                  <c:v>301.75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F-4393-BC12-63B9A6D254F6}"/>
            </c:ext>
          </c:extLst>
        </c:ser>
        <c:ser>
          <c:idx val="1"/>
          <c:order val="1"/>
          <c:tx>
            <c:strRef>
              <c:f>'Historical Data'!$O$3</c:f>
              <c:strCache>
                <c:ptCount val="1"/>
                <c:pt idx="0">
                  <c:v>Share Price Zomato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'Historical Data'!$O$4:$O$252</c:f>
              <c:numCache>
                <c:formatCode>_("₹"* #,##0.00_);_("₹"* \(#,##0.00\);_("₹"* "-"??_);_(@_)</c:formatCode>
                <c:ptCount val="249"/>
                <c:pt idx="0">
                  <c:v>229.04</c:v>
                </c:pt>
                <c:pt idx="1">
                  <c:v>222.1</c:v>
                </c:pt>
                <c:pt idx="2">
                  <c:v>222.14</c:v>
                </c:pt>
                <c:pt idx="3">
                  <c:v>227.61</c:v>
                </c:pt>
                <c:pt idx="4">
                  <c:v>227.02</c:v>
                </c:pt>
                <c:pt idx="5">
                  <c:v>225.43</c:v>
                </c:pt>
                <c:pt idx="6">
                  <c:v>216.83</c:v>
                </c:pt>
                <c:pt idx="7">
                  <c:v>211.28</c:v>
                </c:pt>
                <c:pt idx="8">
                  <c:v>208.07</c:v>
                </c:pt>
                <c:pt idx="9">
                  <c:v>205.46</c:v>
                </c:pt>
                <c:pt idx="10">
                  <c:v>201.43</c:v>
                </c:pt>
                <c:pt idx="11">
                  <c:v>203.69</c:v>
                </c:pt>
                <c:pt idx="12">
                  <c:v>218.19</c:v>
                </c:pt>
                <c:pt idx="13">
                  <c:v>223.53</c:v>
                </c:pt>
                <c:pt idx="14">
                  <c:v>224.47</c:v>
                </c:pt>
                <c:pt idx="15">
                  <c:v>227.52</c:v>
                </c:pt>
                <c:pt idx="16">
                  <c:v>222.8</c:v>
                </c:pt>
                <c:pt idx="17">
                  <c:v>209.81</c:v>
                </c:pt>
                <c:pt idx="18">
                  <c:v>203.29</c:v>
                </c:pt>
                <c:pt idx="19">
                  <c:v>206.28</c:v>
                </c:pt>
                <c:pt idx="20">
                  <c:v>201.7</c:v>
                </c:pt>
                <c:pt idx="21">
                  <c:v>202.01</c:v>
                </c:pt>
                <c:pt idx="22">
                  <c:v>212.03</c:v>
                </c:pt>
                <c:pt idx="23">
                  <c:v>210.9</c:v>
                </c:pt>
                <c:pt idx="24">
                  <c:v>210.53</c:v>
                </c:pt>
                <c:pt idx="25">
                  <c:v>209.63</c:v>
                </c:pt>
                <c:pt idx="26">
                  <c:v>215.19</c:v>
                </c:pt>
                <c:pt idx="27">
                  <c:v>211.39</c:v>
                </c:pt>
                <c:pt idx="28">
                  <c:v>217.2</c:v>
                </c:pt>
                <c:pt idx="29">
                  <c:v>222.23</c:v>
                </c:pt>
                <c:pt idx="30">
                  <c:v>222.08</c:v>
                </c:pt>
                <c:pt idx="31">
                  <c:v>231.6</c:v>
                </c:pt>
                <c:pt idx="32">
                  <c:v>234.24</c:v>
                </c:pt>
                <c:pt idx="33">
                  <c:v>237.47</c:v>
                </c:pt>
                <c:pt idx="34">
                  <c:v>239.24</c:v>
                </c:pt>
                <c:pt idx="35">
                  <c:v>236.38</c:v>
                </c:pt>
                <c:pt idx="36">
                  <c:v>228.81</c:v>
                </c:pt>
                <c:pt idx="37">
                  <c:v>227.21</c:v>
                </c:pt>
                <c:pt idx="38">
                  <c:v>231.11</c:v>
                </c:pt>
                <c:pt idx="39">
                  <c:v>232.52</c:v>
                </c:pt>
                <c:pt idx="40">
                  <c:v>234.29</c:v>
                </c:pt>
                <c:pt idx="41">
                  <c:v>239.9</c:v>
                </c:pt>
                <c:pt idx="42">
                  <c:v>232.64</c:v>
                </c:pt>
                <c:pt idx="43">
                  <c:v>236.9</c:v>
                </c:pt>
                <c:pt idx="44">
                  <c:v>229.81</c:v>
                </c:pt>
                <c:pt idx="45">
                  <c:v>227.14</c:v>
                </c:pt>
                <c:pt idx="46">
                  <c:v>239.5</c:v>
                </c:pt>
                <c:pt idx="47">
                  <c:v>231.65</c:v>
                </c:pt>
                <c:pt idx="48">
                  <c:v>236.86</c:v>
                </c:pt>
                <c:pt idx="49">
                  <c:v>242.59</c:v>
                </c:pt>
                <c:pt idx="50">
                  <c:v>245.76</c:v>
                </c:pt>
                <c:pt idx="51">
                  <c:v>238.03</c:v>
                </c:pt>
                <c:pt idx="52">
                  <c:v>228.28</c:v>
                </c:pt>
                <c:pt idx="53">
                  <c:v>229.97</c:v>
                </c:pt>
                <c:pt idx="54">
                  <c:v>229.02</c:v>
                </c:pt>
                <c:pt idx="55">
                  <c:v>237.55</c:v>
                </c:pt>
                <c:pt idx="56">
                  <c:v>226.8</c:v>
                </c:pt>
                <c:pt idx="57">
                  <c:v>224.79</c:v>
                </c:pt>
                <c:pt idx="58">
                  <c:v>224.18</c:v>
                </c:pt>
                <c:pt idx="59">
                  <c:v>228.37</c:v>
                </c:pt>
                <c:pt idx="60">
                  <c:v>238.31</c:v>
                </c:pt>
                <c:pt idx="61">
                  <c:v>241.2</c:v>
                </c:pt>
                <c:pt idx="62">
                  <c:v>237.7</c:v>
                </c:pt>
                <c:pt idx="63">
                  <c:v>245.68</c:v>
                </c:pt>
                <c:pt idx="64">
                  <c:v>256.56</c:v>
                </c:pt>
                <c:pt idx="65">
                  <c:v>261.86</c:v>
                </c:pt>
                <c:pt idx="66">
                  <c:v>256.83999999999997</c:v>
                </c:pt>
                <c:pt idx="67">
                  <c:v>255.68</c:v>
                </c:pt>
                <c:pt idx="68">
                  <c:v>257.07</c:v>
                </c:pt>
                <c:pt idx="69">
                  <c:v>251.56</c:v>
                </c:pt>
                <c:pt idx="70">
                  <c:v>249.08</c:v>
                </c:pt>
                <c:pt idx="71">
                  <c:v>252.15</c:v>
                </c:pt>
                <c:pt idx="72">
                  <c:v>247.25</c:v>
                </c:pt>
                <c:pt idx="73">
                  <c:v>248.41</c:v>
                </c:pt>
                <c:pt idx="74">
                  <c:v>249.42</c:v>
                </c:pt>
                <c:pt idx="75">
                  <c:v>253.33</c:v>
                </c:pt>
                <c:pt idx="76">
                  <c:v>254.64</c:v>
                </c:pt>
                <c:pt idx="77">
                  <c:v>255.07</c:v>
                </c:pt>
                <c:pt idx="78">
                  <c:v>258.86</c:v>
                </c:pt>
                <c:pt idx="79">
                  <c:v>265.18</c:v>
                </c:pt>
                <c:pt idx="80">
                  <c:v>261.86</c:v>
                </c:pt>
                <c:pt idx="81">
                  <c:v>264.14999999999998</c:v>
                </c:pt>
                <c:pt idx="82">
                  <c:v>261</c:v>
                </c:pt>
                <c:pt idx="83">
                  <c:v>259.75</c:v>
                </c:pt>
                <c:pt idx="84">
                  <c:v>260.85000000000002</c:v>
                </c:pt>
                <c:pt idx="85">
                  <c:v>261.39999999999998</c:v>
                </c:pt>
                <c:pt idx="86">
                  <c:v>258.55</c:v>
                </c:pt>
                <c:pt idx="87">
                  <c:v>263.5</c:v>
                </c:pt>
                <c:pt idx="88">
                  <c:v>264.55</c:v>
                </c:pt>
                <c:pt idx="89">
                  <c:v>262.85000000000002</c:v>
                </c:pt>
                <c:pt idx="90">
                  <c:v>263.35000000000002</c:v>
                </c:pt>
                <c:pt idx="91">
                  <c:v>270.60000000000002</c:v>
                </c:pt>
                <c:pt idx="92">
                  <c:v>266.45</c:v>
                </c:pt>
                <c:pt idx="93">
                  <c:v>262.35000000000002</c:v>
                </c:pt>
                <c:pt idx="94">
                  <c:v>259.64999999999998</c:v>
                </c:pt>
                <c:pt idx="95">
                  <c:v>257.2</c:v>
                </c:pt>
                <c:pt idx="96">
                  <c:v>271.7</c:v>
                </c:pt>
                <c:pt idx="97">
                  <c:v>299.8</c:v>
                </c:pt>
                <c:pt idx="98">
                  <c:v>302.05</c:v>
                </c:pt>
                <c:pt idx="99">
                  <c:v>313.14999999999998</c:v>
                </c:pt>
                <c:pt idx="100">
                  <c:v>310.55</c:v>
                </c:pt>
                <c:pt idx="101">
                  <c:v>307.3</c:v>
                </c:pt>
                <c:pt idx="102">
                  <c:v>306.55</c:v>
                </c:pt>
                <c:pt idx="103">
                  <c:v>303.45</c:v>
                </c:pt>
                <c:pt idx="104">
                  <c:v>307.8</c:v>
                </c:pt>
                <c:pt idx="105">
                  <c:v>304.75</c:v>
                </c:pt>
                <c:pt idx="106">
                  <c:v>305.25</c:v>
                </c:pt>
                <c:pt idx="107">
                  <c:v>302.14999999999998</c:v>
                </c:pt>
                <c:pt idx="108">
                  <c:v>298.85000000000002</c:v>
                </c:pt>
                <c:pt idx="109">
                  <c:v>301.75</c:v>
                </c:pt>
                <c:pt idx="110">
                  <c:v>300.89999999999998</c:v>
                </c:pt>
                <c:pt idx="111">
                  <c:v>309.39999999999998</c:v>
                </c:pt>
                <c:pt idx="112">
                  <c:v>305.89999999999998</c:v>
                </c:pt>
                <c:pt idx="113">
                  <c:v>312.35000000000002</c:v>
                </c:pt>
                <c:pt idx="114">
                  <c:v>318.39999999999998</c:v>
                </c:pt>
                <c:pt idx="115">
                  <c:v>314.89999999999998</c:v>
                </c:pt>
                <c:pt idx="116">
                  <c:v>321.45</c:v>
                </c:pt>
                <c:pt idx="117">
                  <c:v>326.55</c:v>
                </c:pt>
                <c:pt idx="118">
                  <c:v>321.8</c:v>
                </c:pt>
                <c:pt idx="119">
                  <c:v>319.10000000000002</c:v>
                </c:pt>
                <c:pt idx="120">
                  <c:v>319.25</c:v>
                </c:pt>
                <c:pt idx="121">
                  <c:v>317.89999999999998</c:v>
                </c:pt>
                <c:pt idx="122">
                  <c:v>315.5</c:v>
                </c:pt>
                <c:pt idx="123">
                  <c:v>313.95</c:v>
                </c:pt>
                <c:pt idx="124">
                  <c:v>321.10000000000002</c:v>
                </c:pt>
                <c:pt idx="125">
                  <c:v>322.39999999999998</c:v>
                </c:pt>
                <c:pt idx="126">
                  <c:v>326.10000000000002</c:v>
                </c:pt>
                <c:pt idx="127">
                  <c:v>326.25</c:v>
                </c:pt>
                <c:pt idx="128">
                  <c:v>329.15</c:v>
                </c:pt>
                <c:pt idx="129">
                  <c:v>329.65</c:v>
                </c:pt>
                <c:pt idx="130">
                  <c:v>325.7</c:v>
                </c:pt>
                <c:pt idx="131">
                  <c:v>324.39999999999998</c:v>
                </c:pt>
                <c:pt idx="132">
                  <c:v>328.1</c:v>
                </c:pt>
                <c:pt idx="133">
                  <c:v>321.39999999999998</c:v>
                </c:pt>
                <c:pt idx="134">
                  <c:v>323.3</c:v>
                </c:pt>
                <c:pt idx="135">
                  <c:v>327.3</c:v>
                </c:pt>
                <c:pt idx="136">
                  <c:v>328.25</c:v>
                </c:pt>
                <c:pt idx="137">
                  <c:v>337.85</c:v>
                </c:pt>
                <c:pt idx="138">
                  <c:v>336.55</c:v>
                </c:pt>
                <c:pt idx="139">
                  <c:v>341.85</c:v>
                </c:pt>
                <c:pt idx="140">
                  <c:v>338.35</c:v>
                </c:pt>
                <c:pt idx="141">
                  <c:v>335.8</c:v>
                </c:pt>
                <c:pt idx="142">
                  <c:v>332.25</c:v>
                </c:pt>
                <c:pt idx="143">
                  <c:v>321</c:v>
                </c:pt>
                <c:pt idx="144">
                  <c:v>324.85000000000002</c:v>
                </c:pt>
                <c:pt idx="145">
                  <c:v>325.5</c:v>
                </c:pt>
                <c:pt idx="146">
                  <c:v>329</c:v>
                </c:pt>
                <c:pt idx="147">
                  <c:v>328.45</c:v>
                </c:pt>
                <c:pt idx="148">
                  <c:v>335.1</c:v>
                </c:pt>
                <c:pt idx="149">
                  <c:v>337.85</c:v>
                </c:pt>
                <c:pt idx="150">
                  <c:v>341.65</c:v>
                </c:pt>
                <c:pt idx="151">
                  <c:v>345.5</c:v>
                </c:pt>
                <c:pt idx="152">
                  <c:v>348.3</c:v>
                </c:pt>
                <c:pt idx="153">
                  <c:v>348.35</c:v>
                </c:pt>
                <c:pt idx="154">
                  <c:v>347.75</c:v>
                </c:pt>
                <c:pt idx="155">
                  <c:v>354.35</c:v>
                </c:pt>
                <c:pt idx="156">
                  <c:v>347.85</c:v>
                </c:pt>
                <c:pt idx="157">
                  <c:v>342.65</c:v>
                </c:pt>
                <c:pt idx="158">
                  <c:v>338.15</c:v>
                </c:pt>
                <c:pt idx="159">
                  <c:v>338.1</c:v>
                </c:pt>
                <c:pt idx="160">
                  <c:v>328.35</c:v>
                </c:pt>
                <c:pt idx="161">
                  <c:v>326.60000000000002</c:v>
                </c:pt>
                <c:pt idx="162">
                  <c:v>333.7</c:v>
                </c:pt>
                <c:pt idx="163">
                  <c:v>334.6</c:v>
                </c:pt>
                <c:pt idx="164">
                  <c:v>330.45</c:v>
                </c:pt>
                <c:pt idx="165">
                  <c:v>329.35</c:v>
                </c:pt>
                <c:pt idx="166">
                  <c:v>317.75</c:v>
                </c:pt>
                <c:pt idx="167">
                  <c:v>322.60000000000002</c:v>
                </c:pt>
                <c:pt idx="168">
                  <c:v>313.5</c:v>
                </c:pt>
                <c:pt idx="169">
                  <c:v>305.64999999999998</c:v>
                </c:pt>
                <c:pt idx="170">
                  <c:v>306.10000000000002</c:v>
                </c:pt>
                <c:pt idx="171">
                  <c:v>301.45</c:v>
                </c:pt>
                <c:pt idx="172">
                  <c:v>305.8</c:v>
                </c:pt>
                <c:pt idx="173">
                  <c:v>308.8</c:v>
                </c:pt>
                <c:pt idx="174">
                  <c:v>297.75</c:v>
                </c:pt>
                <c:pt idx="175">
                  <c:v>303.75</c:v>
                </c:pt>
                <c:pt idx="176">
                  <c:v>309.55</c:v>
                </c:pt>
                <c:pt idx="177">
                  <c:v>306.14999999999998</c:v>
                </c:pt>
                <c:pt idx="178">
                  <c:v>306.60000000000002</c:v>
                </c:pt>
                <c:pt idx="179">
                  <c:v>306.89999999999998</c:v>
                </c:pt>
                <c:pt idx="180">
                  <c:v>301.95</c:v>
                </c:pt>
                <c:pt idx="181">
                  <c:v>301</c:v>
                </c:pt>
                <c:pt idx="182">
                  <c:v>302.3</c:v>
                </c:pt>
                <c:pt idx="183">
                  <c:v>306.85000000000002</c:v>
                </c:pt>
                <c:pt idx="184">
                  <c:v>302.75</c:v>
                </c:pt>
                <c:pt idx="185">
                  <c:v>300.10000000000002</c:v>
                </c:pt>
                <c:pt idx="186">
                  <c:v>301.5</c:v>
                </c:pt>
                <c:pt idx="187">
                  <c:v>300.55</c:v>
                </c:pt>
                <c:pt idx="188">
                  <c:v>297.75</c:v>
                </c:pt>
                <c:pt idx="189">
                  <c:v>295.75</c:v>
                </c:pt>
                <c:pt idx="190">
                  <c:v>292.39999999999998</c:v>
                </c:pt>
                <c:pt idx="191">
                  <c:v>285.25</c:v>
                </c:pt>
                <c:pt idx="192">
                  <c:v>291.7</c:v>
                </c:pt>
                <c:pt idx="193">
                  <c:v>283.25</c:v>
                </c:pt>
                <c:pt idx="194">
                  <c:v>290.95</c:v>
                </c:pt>
                <c:pt idx="195">
                  <c:v>298.05</c:v>
                </c:pt>
                <c:pt idx="196">
                  <c:v>298.45</c:v>
                </c:pt>
                <c:pt idx="197">
                  <c:v>284.45</c:v>
                </c:pt>
                <c:pt idx="198">
                  <c:v>284.45</c:v>
                </c:pt>
                <c:pt idx="199">
                  <c:v>284.75</c:v>
                </c:pt>
                <c:pt idx="200">
                  <c:v>286.05</c:v>
                </c:pt>
                <c:pt idx="201">
                  <c:v>286.7</c:v>
                </c:pt>
                <c:pt idx="202">
                  <c:v>284.35000000000002</c:v>
                </c:pt>
                <c:pt idx="203">
                  <c:v>284.85000000000002</c:v>
                </c:pt>
                <c:pt idx="204">
                  <c:v>281.75</c:v>
                </c:pt>
                <c:pt idx="205">
                  <c:v>282.85000000000002</c:v>
                </c:pt>
                <c:pt idx="206">
                  <c:v>277.10000000000002</c:v>
                </c:pt>
                <c:pt idx="207">
                  <c:v>278.05</c:v>
                </c:pt>
                <c:pt idx="208">
                  <c:v>283.8</c:v>
                </c:pt>
                <c:pt idx="209">
                  <c:v>284.14999999999998</c:v>
                </c:pt>
                <c:pt idx="210">
                  <c:v>281.8</c:v>
                </c:pt>
                <c:pt idx="211">
                  <c:v>279.05</c:v>
                </c:pt>
                <c:pt idx="212">
                  <c:v>280.95</c:v>
                </c:pt>
                <c:pt idx="213">
                  <c:v>283.55</c:v>
                </c:pt>
                <c:pt idx="214">
                  <c:v>284.35000000000002</c:v>
                </c:pt>
                <c:pt idx="215">
                  <c:v>285.25</c:v>
                </c:pt>
                <c:pt idx="216">
                  <c:v>294.55</c:v>
                </c:pt>
                <c:pt idx="217">
                  <c:v>299.25</c:v>
                </c:pt>
                <c:pt idx="218">
                  <c:v>287.7</c:v>
                </c:pt>
                <c:pt idx="219">
                  <c:v>281.35000000000002</c:v>
                </c:pt>
                <c:pt idx="220">
                  <c:v>269.60000000000002</c:v>
                </c:pt>
                <c:pt idx="221">
                  <c:v>283.5</c:v>
                </c:pt>
                <c:pt idx="222">
                  <c:v>275.89999999999998</c:v>
                </c:pt>
                <c:pt idx="223">
                  <c:v>258.7</c:v>
                </c:pt>
                <c:pt idx="224">
                  <c:v>253.85</c:v>
                </c:pt>
                <c:pt idx="225">
                  <c:v>266.3</c:v>
                </c:pt>
                <c:pt idx="226">
                  <c:v>275.35000000000002</c:v>
                </c:pt>
                <c:pt idx="227">
                  <c:v>273.60000000000002</c:v>
                </c:pt>
                <c:pt idx="228">
                  <c:v>269.55</c:v>
                </c:pt>
                <c:pt idx="229">
                  <c:v>272.64999999999998</c:v>
                </c:pt>
                <c:pt idx="230">
                  <c:v>279.8</c:v>
                </c:pt>
                <c:pt idx="231">
                  <c:v>294.14999999999998</c:v>
                </c:pt>
                <c:pt idx="232">
                  <c:v>286.85000000000002</c:v>
                </c:pt>
                <c:pt idx="233">
                  <c:v>283.55</c:v>
                </c:pt>
                <c:pt idx="234">
                  <c:v>288.85000000000002</c:v>
                </c:pt>
                <c:pt idx="235">
                  <c:v>303.8</c:v>
                </c:pt>
                <c:pt idx="236">
                  <c:v>300.7</c:v>
                </c:pt>
                <c:pt idx="237">
                  <c:v>298</c:v>
                </c:pt>
                <c:pt idx="238">
                  <c:v>285.2</c:v>
                </c:pt>
                <c:pt idx="239">
                  <c:v>286.60000000000002</c:v>
                </c:pt>
                <c:pt idx="240">
                  <c:v>281.5</c:v>
                </c:pt>
                <c:pt idx="241">
                  <c:v>277.35000000000002</c:v>
                </c:pt>
                <c:pt idx="242">
                  <c:v>271.75</c:v>
                </c:pt>
                <c:pt idx="243">
                  <c:v>269.45</c:v>
                </c:pt>
                <c:pt idx="244">
                  <c:v>268</c:v>
                </c:pt>
                <c:pt idx="245">
                  <c:v>254</c:v>
                </c:pt>
                <c:pt idx="246">
                  <c:v>250.2</c:v>
                </c:pt>
                <c:pt idx="247">
                  <c:v>246.5</c:v>
                </c:pt>
                <c:pt idx="248">
                  <c:v>246.3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F-4393-BC12-63B9A6D25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445808"/>
        <c:axId val="1092446288"/>
      </c:lineChart>
      <c:catAx>
        <c:axId val="1092445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2446288"/>
        <c:crosses val="autoZero"/>
        <c:auto val="1"/>
        <c:lblAlgn val="ctr"/>
        <c:lblOffset val="100"/>
        <c:noMultiLvlLbl val="0"/>
      </c:catAx>
      <c:valAx>
        <c:axId val="10924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4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550095</xdr:colOff>
      <xdr:row>0</xdr:row>
      <xdr:rowOff>117083</xdr:rowOff>
    </xdr:from>
    <xdr:to>
      <xdr:col>16</xdr:col>
      <xdr:colOff>351032</xdr:colOff>
      <xdr:row>16</xdr:row>
      <xdr:rowOff>34247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848C3-695D-8F64-0283-65DF24826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0</xdr:row>
      <xdr:rowOff>99060</xdr:rowOff>
    </xdr:from>
    <xdr:to>
      <xdr:col>7</xdr:col>
      <xdr:colOff>214045</xdr:colOff>
      <xdr:row>16</xdr:row>
      <xdr:rowOff>34247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4D5385-26AC-4602-B753-95F3B1929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1CB5-7FC8-4CB6-8D1F-9AB1A9F8B422}">
  <dimension ref="A1:T255"/>
  <sheetViews>
    <sheetView zoomScale="68" workbookViewId="0">
      <selection activeCell="K11" sqref="K11"/>
    </sheetView>
  </sheetViews>
  <sheetFormatPr defaultRowHeight="14.4" x14ac:dyDescent="0.3"/>
  <cols>
    <col min="1" max="1" width="8.88671875" style="2"/>
    <col min="2" max="2" width="13.109375" style="2" customWidth="1"/>
    <col min="3" max="3" width="10.88671875" style="2" customWidth="1"/>
    <col min="4" max="4" width="20.21875" style="2" bestFit="1" customWidth="1"/>
    <col min="5" max="5" width="11.6640625" style="2" customWidth="1"/>
    <col min="6" max="6" width="10.44140625" style="2" customWidth="1"/>
    <col min="7" max="7" width="11.44140625" style="2" customWidth="1"/>
    <col min="8" max="8" width="15.88671875" style="2" customWidth="1"/>
    <col min="9" max="9" width="15" style="2" bestFit="1" customWidth="1"/>
    <col min="10" max="12" width="8.88671875" style="2"/>
    <col min="13" max="13" width="15.109375" style="2" customWidth="1"/>
    <col min="14" max="14" width="12.77734375" style="2" customWidth="1"/>
    <col min="15" max="15" width="21.21875" style="2" bestFit="1" customWidth="1"/>
    <col min="16" max="16" width="12.109375" style="2" customWidth="1"/>
    <col min="17" max="17" width="12" style="2" customWidth="1"/>
    <col min="18" max="18" width="11.88671875" style="2" customWidth="1"/>
    <col min="19" max="19" width="17.88671875" style="2" customWidth="1"/>
    <col min="20" max="20" width="10.6640625" style="2" bestFit="1" customWidth="1"/>
    <col min="21" max="16384" width="8.88671875" style="2"/>
  </cols>
  <sheetData>
    <row r="1" spans="1:20" x14ac:dyDescent="0.3">
      <c r="C1" s="8"/>
      <c r="E1" s="7"/>
    </row>
    <row r="2" spans="1:20" ht="32.4" customHeight="1" x14ac:dyDescent="0.3">
      <c r="B2" s="71" t="e" vm="1">
        <v>#VALUE!</v>
      </c>
      <c r="C2" s="72"/>
      <c r="D2" s="72"/>
      <c r="E2" s="72"/>
      <c r="F2" s="72"/>
      <c r="G2" s="72"/>
      <c r="H2" s="73"/>
      <c r="M2" s="74" t="e" vm="2">
        <v>#VALUE!</v>
      </c>
      <c r="N2" s="75"/>
      <c r="O2" s="75"/>
      <c r="P2" s="75"/>
      <c r="Q2" s="75"/>
      <c r="R2" s="75"/>
      <c r="S2" s="76"/>
    </row>
    <row r="3" spans="1:20" s="3" customFormat="1" ht="18" thickBot="1" x14ac:dyDescent="0.4">
      <c r="B3" s="6" t="s">
        <v>0</v>
      </c>
      <c r="C3" s="6" t="s">
        <v>5</v>
      </c>
      <c r="D3" s="6" t="s">
        <v>50</v>
      </c>
      <c r="E3" s="6" t="s">
        <v>1</v>
      </c>
      <c r="F3" s="6" t="s">
        <v>2</v>
      </c>
      <c r="G3" s="1" t="s">
        <v>3</v>
      </c>
      <c r="H3" s="6" t="s">
        <v>4</v>
      </c>
      <c r="M3" s="6" t="s">
        <v>0</v>
      </c>
      <c r="N3" s="1" t="s">
        <v>5</v>
      </c>
      <c r="O3" s="15" t="s">
        <v>51</v>
      </c>
      <c r="P3" s="15" t="s">
        <v>1</v>
      </c>
      <c r="Q3" s="6" t="s">
        <v>2</v>
      </c>
      <c r="R3" s="1" t="s">
        <v>3</v>
      </c>
      <c r="S3" s="16" t="s">
        <v>4</v>
      </c>
    </row>
    <row r="4" spans="1:20" ht="15" thickTop="1" x14ac:dyDescent="0.3">
      <c r="A4" s="8"/>
      <c r="B4" s="9">
        <v>45715</v>
      </c>
      <c r="C4" s="18">
        <v>-0.03</v>
      </c>
      <c r="D4" s="19">
        <v>344.45</v>
      </c>
      <c r="E4" s="19">
        <v>360</v>
      </c>
      <c r="F4" s="19">
        <v>360</v>
      </c>
      <c r="G4" s="19">
        <v>341</v>
      </c>
      <c r="H4" s="20">
        <v>6110000</v>
      </c>
      <c r="I4" s="17"/>
      <c r="M4" s="9">
        <v>45715</v>
      </c>
      <c r="N4" s="11">
        <v>1.5100000000000001E-2</v>
      </c>
      <c r="O4" s="26">
        <v>229.04</v>
      </c>
      <c r="P4" s="26">
        <v>226</v>
      </c>
      <c r="Q4" s="26">
        <v>229.74</v>
      </c>
      <c r="R4" s="26">
        <v>225.05</v>
      </c>
      <c r="S4" s="27">
        <v>33850000</v>
      </c>
      <c r="T4" s="7"/>
    </row>
    <row r="5" spans="1:20" x14ac:dyDescent="0.3">
      <c r="A5" s="8"/>
      <c r="B5" s="10">
        <v>45716</v>
      </c>
      <c r="C5" s="12">
        <v>-2.8500000000000001E-2</v>
      </c>
      <c r="D5" s="21">
        <v>334.65</v>
      </c>
      <c r="E5" s="21">
        <v>340</v>
      </c>
      <c r="F5" s="21">
        <v>354.5</v>
      </c>
      <c r="G5" s="21">
        <v>331.05</v>
      </c>
      <c r="H5" s="22">
        <v>11990000</v>
      </c>
      <c r="I5" s="17"/>
      <c r="M5" s="10">
        <v>45716</v>
      </c>
      <c r="N5" s="12">
        <v>-3.0300000000000001E-2</v>
      </c>
      <c r="O5" s="28">
        <v>222.1</v>
      </c>
      <c r="P5" s="28">
        <v>226</v>
      </c>
      <c r="Q5" s="28">
        <v>228.46</v>
      </c>
      <c r="R5" s="28">
        <v>217.82</v>
      </c>
      <c r="S5" s="22">
        <v>115470000</v>
      </c>
      <c r="T5" s="7"/>
    </row>
    <row r="6" spans="1:20" x14ac:dyDescent="0.3">
      <c r="A6" s="8"/>
      <c r="B6" s="10">
        <v>45719</v>
      </c>
      <c r="C6" s="12">
        <v>-2.5000000000000001E-2</v>
      </c>
      <c r="D6" s="21">
        <v>326.3</v>
      </c>
      <c r="E6" s="21">
        <v>342.25</v>
      </c>
      <c r="F6" s="21">
        <v>342.25</v>
      </c>
      <c r="G6" s="21">
        <v>317</v>
      </c>
      <c r="H6" s="22">
        <v>13180000</v>
      </c>
      <c r="I6" s="17"/>
      <c r="M6" s="10">
        <v>45719</v>
      </c>
      <c r="N6" s="12">
        <v>2.0000000000000001E-4</v>
      </c>
      <c r="O6" s="28">
        <v>222.14</v>
      </c>
      <c r="P6" s="28">
        <v>222.05</v>
      </c>
      <c r="Q6" s="28">
        <v>225.58</v>
      </c>
      <c r="R6" s="28">
        <v>215.25</v>
      </c>
      <c r="S6" s="22">
        <v>33259999.999999996</v>
      </c>
      <c r="T6" s="7"/>
    </row>
    <row r="7" spans="1:20" x14ac:dyDescent="0.3">
      <c r="A7" s="8"/>
      <c r="B7" s="10">
        <v>45720</v>
      </c>
      <c r="C7" s="12">
        <v>7.2800000000000004E-2</v>
      </c>
      <c r="D7" s="21">
        <v>350.05</v>
      </c>
      <c r="E7" s="21">
        <v>324</v>
      </c>
      <c r="F7" s="21">
        <v>352</v>
      </c>
      <c r="G7" s="21">
        <v>322.14999999999998</v>
      </c>
      <c r="H7" s="22">
        <v>18340000</v>
      </c>
      <c r="I7" s="17"/>
      <c r="M7" s="10">
        <v>45720</v>
      </c>
      <c r="N7" s="12">
        <v>2.46E-2</v>
      </c>
      <c r="O7" s="28">
        <v>227.61</v>
      </c>
      <c r="P7" s="28">
        <v>220.6</v>
      </c>
      <c r="Q7" s="28">
        <v>229.66</v>
      </c>
      <c r="R7" s="28">
        <v>218.7</v>
      </c>
      <c r="S7" s="22">
        <v>40790000</v>
      </c>
      <c r="T7" s="7"/>
    </row>
    <row r="8" spans="1:20" x14ac:dyDescent="0.3">
      <c r="A8" s="8"/>
      <c r="B8" s="10">
        <v>45721</v>
      </c>
      <c r="C8" s="12">
        <v>2.41E-2</v>
      </c>
      <c r="D8" s="21">
        <v>358.5</v>
      </c>
      <c r="E8" s="21">
        <v>346.35</v>
      </c>
      <c r="F8" s="21">
        <v>360</v>
      </c>
      <c r="G8" s="21">
        <v>343.5</v>
      </c>
      <c r="H8" s="22">
        <v>10130000</v>
      </c>
      <c r="I8" s="17"/>
      <c r="M8" s="10">
        <v>45721</v>
      </c>
      <c r="N8" s="12">
        <v>-2.5999999999999999E-3</v>
      </c>
      <c r="O8" s="28">
        <v>227.02</v>
      </c>
      <c r="P8" s="28">
        <v>229</v>
      </c>
      <c r="Q8" s="28">
        <v>231.75</v>
      </c>
      <c r="R8" s="28">
        <v>225.36</v>
      </c>
      <c r="S8" s="22">
        <v>33100000</v>
      </c>
      <c r="T8" s="7"/>
    </row>
    <row r="9" spans="1:20" x14ac:dyDescent="0.3">
      <c r="A9" s="8"/>
      <c r="B9" s="10">
        <v>45722</v>
      </c>
      <c r="C9" s="12">
        <v>1.1299999999999999E-2</v>
      </c>
      <c r="D9" s="21">
        <v>362.55</v>
      </c>
      <c r="E9" s="21">
        <v>360</v>
      </c>
      <c r="F9" s="21">
        <v>377.3</v>
      </c>
      <c r="G9" s="21">
        <v>359.05</v>
      </c>
      <c r="H9" s="22">
        <v>12140000</v>
      </c>
      <c r="I9" s="17"/>
      <c r="M9" s="10">
        <v>45722</v>
      </c>
      <c r="N9" s="12">
        <v>-7.0000000000000001E-3</v>
      </c>
      <c r="O9" s="28">
        <v>225.43</v>
      </c>
      <c r="P9" s="28">
        <v>231.44</v>
      </c>
      <c r="Q9" s="28">
        <v>231.44</v>
      </c>
      <c r="R9" s="28">
        <v>224.5</v>
      </c>
      <c r="S9" s="22">
        <v>31860000</v>
      </c>
      <c r="T9" s="7"/>
    </row>
    <row r="10" spans="1:20" x14ac:dyDescent="0.3">
      <c r="A10" s="8"/>
      <c r="B10" s="10">
        <v>45723</v>
      </c>
      <c r="C10" s="12">
        <v>-4.4000000000000003E-3</v>
      </c>
      <c r="D10" s="21">
        <v>360.95</v>
      </c>
      <c r="E10" s="21">
        <v>360</v>
      </c>
      <c r="F10" s="21">
        <v>368.75</v>
      </c>
      <c r="G10" s="21">
        <v>353.55</v>
      </c>
      <c r="H10" s="22">
        <v>9380000</v>
      </c>
      <c r="I10" s="17"/>
      <c r="M10" s="10">
        <v>45723</v>
      </c>
      <c r="N10" s="12">
        <v>-3.8100000000000002E-2</v>
      </c>
      <c r="O10" s="28">
        <v>216.83</v>
      </c>
      <c r="P10" s="28">
        <v>223.89</v>
      </c>
      <c r="Q10" s="28">
        <v>224.65</v>
      </c>
      <c r="R10" s="28">
        <v>216</v>
      </c>
      <c r="S10" s="22">
        <v>43860000</v>
      </c>
      <c r="T10" s="7"/>
    </row>
    <row r="11" spans="1:20" x14ac:dyDescent="0.3">
      <c r="A11" s="8"/>
      <c r="B11" s="10">
        <v>45726</v>
      </c>
      <c r="C11" s="12">
        <v>-3.5999999999999999E-3</v>
      </c>
      <c r="D11" s="21">
        <v>359.65</v>
      </c>
      <c r="E11" s="21">
        <v>368.8</v>
      </c>
      <c r="F11" s="21">
        <v>368.8</v>
      </c>
      <c r="G11" s="21">
        <v>354.25</v>
      </c>
      <c r="H11" s="22">
        <v>6190000</v>
      </c>
      <c r="I11" s="17"/>
      <c r="M11" s="10">
        <v>45726</v>
      </c>
      <c r="N11" s="12">
        <v>-2.5600000000000001E-2</v>
      </c>
      <c r="O11" s="28">
        <v>211.28</v>
      </c>
      <c r="P11" s="28">
        <v>217.41</v>
      </c>
      <c r="Q11" s="28">
        <v>219.09</v>
      </c>
      <c r="R11" s="28">
        <v>210.55</v>
      </c>
      <c r="S11" s="22">
        <v>62790000</v>
      </c>
      <c r="T11" s="7"/>
    </row>
    <row r="12" spans="1:20" x14ac:dyDescent="0.3">
      <c r="A12" s="8"/>
      <c r="B12" s="10">
        <v>45727</v>
      </c>
      <c r="C12" s="12">
        <v>-1.89E-2</v>
      </c>
      <c r="D12" s="21">
        <v>352.85</v>
      </c>
      <c r="E12" s="21">
        <v>354</v>
      </c>
      <c r="F12" s="21">
        <v>354.75</v>
      </c>
      <c r="G12" s="21">
        <v>347.3</v>
      </c>
      <c r="H12" s="22">
        <v>3700000</v>
      </c>
      <c r="I12" s="17"/>
      <c r="M12" s="10">
        <v>45727</v>
      </c>
      <c r="N12" s="12">
        <v>-1.52E-2</v>
      </c>
      <c r="O12" s="28">
        <v>208.07</v>
      </c>
      <c r="P12" s="28">
        <v>205.01</v>
      </c>
      <c r="Q12" s="28">
        <v>210.42</v>
      </c>
      <c r="R12" s="28">
        <v>199.8</v>
      </c>
      <c r="S12" s="22">
        <v>122390000</v>
      </c>
      <c r="T12" s="7"/>
    </row>
    <row r="13" spans="1:20" x14ac:dyDescent="0.3">
      <c r="A13" s="8"/>
      <c r="B13" s="10">
        <v>45728</v>
      </c>
      <c r="C13" s="12">
        <v>-1.15E-2</v>
      </c>
      <c r="D13" s="21">
        <v>348.8</v>
      </c>
      <c r="E13" s="21">
        <v>355.95</v>
      </c>
      <c r="F13" s="21">
        <v>360.6</v>
      </c>
      <c r="G13" s="21">
        <v>346.45</v>
      </c>
      <c r="H13" s="22">
        <v>7810000</v>
      </c>
      <c r="I13" s="17"/>
      <c r="M13" s="10">
        <v>45728</v>
      </c>
      <c r="N13" s="12">
        <v>-1.2500000000000001E-2</v>
      </c>
      <c r="O13" s="28">
        <v>205.46</v>
      </c>
      <c r="P13" s="28">
        <v>209.09</v>
      </c>
      <c r="Q13" s="28">
        <v>212.5</v>
      </c>
      <c r="R13" s="28">
        <v>201.2</v>
      </c>
      <c r="S13" s="22">
        <v>80010000</v>
      </c>
      <c r="T13" s="7"/>
    </row>
    <row r="14" spans="1:20" x14ac:dyDescent="0.3">
      <c r="A14" s="8"/>
      <c r="B14" s="10">
        <v>45729</v>
      </c>
      <c r="C14" s="12">
        <v>1.26E-2</v>
      </c>
      <c r="D14" s="21">
        <v>353.2</v>
      </c>
      <c r="E14" s="21">
        <v>353</v>
      </c>
      <c r="F14" s="21">
        <v>357.85</v>
      </c>
      <c r="G14" s="21">
        <v>343.7</v>
      </c>
      <c r="H14" s="22">
        <v>4890000</v>
      </c>
      <c r="I14" s="17"/>
      <c r="M14" s="10">
        <v>45729</v>
      </c>
      <c r="N14" s="12">
        <v>-1.9599999999999999E-2</v>
      </c>
      <c r="O14" s="28">
        <v>201.43</v>
      </c>
      <c r="P14" s="28">
        <v>208.2</v>
      </c>
      <c r="Q14" s="28">
        <v>208.6</v>
      </c>
      <c r="R14" s="28">
        <v>200.2</v>
      </c>
      <c r="S14" s="22">
        <v>60780000</v>
      </c>
      <c r="T14" s="7"/>
    </row>
    <row r="15" spans="1:20" x14ac:dyDescent="0.3">
      <c r="A15" s="8"/>
      <c r="B15" s="10">
        <v>45733</v>
      </c>
      <c r="C15" s="12">
        <v>4.1999999999999997E-3</v>
      </c>
      <c r="D15" s="21">
        <v>354.7</v>
      </c>
      <c r="E15" s="21">
        <v>356</v>
      </c>
      <c r="F15" s="21">
        <v>359.3</v>
      </c>
      <c r="G15" s="21">
        <v>349.2</v>
      </c>
      <c r="H15" s="22">
        <v>6950000</v>
      </c>
      <c r="I15" s="17"/>
      <c r="M15" s="10">
        <v>45733</v>
      </c>
      <c r="N15" s="12">
        <v>1.12E-2</v>
      </c>
      <c r="O15" s="28">
        <v>203.69</v>
      </c>
      <c r="P15" s="28">
        <v>200</v>
      </c>
      <c r="Q15" s="28">
        <v>207.2</v>
      </c>
      <c r="R15" s="28">
        <v>199.17</v>
      </c>
      <c r="S15" s="22">
        <v>48730000</v>
      </c>
      <c r="T15" s="7"/>
    </row>
    <row r="16" spans="1:20" x14ac:dyDescent="0.3">
      <c r="A16" s="8"/>
      <c r="B16" s="10">
        <v>45734</v>
      </c>
      <c r="C16" s="12">
        <v>3.8E-3</v>
      </c>
      <c r="D16" s="21">
        <v>356.05</v>
      </c>
      <c r="E16" s="21">
        <v>356.5</v>
      </c>
      <c r="F16" s="21">
        <v>359.3</v>
      </c>
      <c r="G16" s="21">
        <v>353.05</v>
      </c>
      <c r="H16" s="22">
        <v>4120000</v>
      </c>
      <c r="I16" s="17"/>
      <c r="M16" s="10">
        <v>45734</v>
      </c>
      <c r="N16" s="12">
        <v>7.1199999999999999E-2</v>
      </c>
      <c r="O16" s="28">
        <v>218.19</v>
      </c>
      <c r="P16" s="28">
        <v>204.28</v>
      </c>
      <c r="Q16" s="28">
        <v>219.1</v>
      </c>
      <c r="R16" s="28">
        <v>204.28</v>
      </c>
      <c r="S16" s="22">
        <v>79200000</v>
      </c>
      <c r="T16" s="7"/>
    </row>
    <row r="17" spans="1:20" x14ac:dyDescent="0.3">
      <c r="A17" s="8"/>
      <c r="B17" s="10">
        <v>45735</v>
      </c>
      <c r="C17" s="12">
        <v>1.2800000000000001E-2</v>
      </c>
      <c r="D17" s="21">
        <v>360.6</v>
      </c>
      <c r="E17" s="21">
        <v>357.85</v>
      </c>
      <c r="F17" s="21">
        <v>369.7</v>
      </c>
      <c r="G17" s="21">
        <v>352.1</v>
      </c>
      <c r="H17" s="22">
        <v>7870000</v>
      </c>
      <c r="I17" s="17"/>
      <c r="M17" s="10">
        <v>45735</v>
      </c>
      <c r="N17" s="12">
        <v>2.4500000000000001E-2</v>
      </c>
      <c r="O17" s="28">
        <v>223.53</v>
      </c>
      <c r="P17" s="28">
        <v>218.5</v>
      </c>
      <c r="Q17" s="28">
        <v>227.5</v>
      </c>
      <c r="R17" s="28">
        <v>218.5</v>
      </c>
      <c r="S17" s="22">
        <v>65519999.999999993</v>
      </c>
      <c r="T17" s="7"/>
    </row>
    <row r="18" spans="1:20" x14ac:dyDescent="0.3">
      <c r="A18" s="8"/>
      <c r="B18" s="10">
        <v>45736</v>
      </c>
      <c r="C18" s="12">
        <v>-1.7299999999999999E-2</v>
      </c>
      <c r="D18" s="21">
        <v>354.35</v>
      </c>
      <c r="E18" s="21">
        <v>364</v>
      </c>
      <c r="F18" s="21">
        <v>366</v>
      </c>
      <c r="G18" s="21">
        <v>348.15</v>
      </c>
      <c r="H18" s="22">
        <v>6780000</v>
      </c>
      <c r="I18" s="17"/>
      <c r="M18" s="10">
        <v>45736</v>
      </c>
      <c r="N18" s="12">
        <v>4.1999999999999997E-3</v>
      </c>
      <c r="O18" s="28">
        <v>224.47</v>
      </c>
      <c r="P18" s="28">
        <v>226</v>
      </c>
      <c r="Q18" s="28">
        <v>228</v>
      </c>
      <c r="R18" s="28">
        <v>221.87</v>
      </c>
      <c r="S18" s="22">
        <v>61380000</v>
      </c>
      <c r="T18" s="7"/>
    </row>
    <row r="19" spans="1:20" x14ac:dyDescent="0.3">
      <c r="A19" s="8"/>
      <c r="B19" s="10">
        <v>45737</v>
      </c>
      <c r="C19" s="12">
        <v>-1.04E-2</v>
      </c>
      <c r="D19" s="21">
        <v>350.65</v>
      </c>
      <c r="E19" s="21">
        <v>354.4</v>
      </c>
      <c r="F19" s="21">
        <v>358.4</v>
      </c>
      <c r="G19" s="21">
        <v>348.2</v>
      </c>
      <c r="H19" s="22">
        <v>4550000</v>
      </c>
      <c r="I19" s="17"/>
      <c r="M19" s="10">
        <v>45737</v>
      </c>
      <c r="N19" s="12">
        <v>1.3599999999999999E-2</v>
      </c>
      <c r="O19" s="28">
        <v>227.52</v>
      </c>
      <c r="P19" s="28">
        <v>220</v>
      </c>
      <c r="Q19" s="28">
        <v>228.85</v>
      </c>
      <c r="R19" s="28">
        <v>220</v>
      </c>
      <c r="S19" s="22">
        <v>113330000</v>
      </c>
      <c r="T19" s="7"/>
    </row>
    <row r="20" spans="1:20" x14ac:dyDescent="0.3">
      <c r="A20" s="8"/>
      <c r="B20" s="10">
        <v>45740</v>
      </c>
      <c r="C20" s="12">
        <v>2.3E-3</v>
      </c>
      <c r="D20" s="21">
        <v>351.45</v>
      </c>
      <c r="E20" s="21">
        <v>353.1</v>
      </c>
      <c r="F20" s="21">
        <v>357.25</v>
      </c>
      <c r="G20" s="21">
        <v>350.6</v>
      </c>
      <c r="H20" s="22">
        <v>3220000</v>
      </c>
      <c r="I20" s="17"/>
      <c r="M20" s="10">
        <v>45740</v>
      </c>
      <c r="N20" s="12">
        <v>-2.07E-2</v>
      </c>
      <c r="O20" s="28">
        <v>222.8</v>
      </c>
      <c r="P20" s="28">
        <v>228.8</v>
      </c>
      <c r="Q20" s="28">
        <v>230.2</v>
      </c>
      <c r="R20" s="28">
        <v>222.2</v>
      </c>
      <c r="S20" s="22">
        <v>41920000</v>
      </c>
      <c r="T20" s="7"/>
    </row>
    <row r="21" spans="1:20" x14ac:dyDescent="0.3">
      <c r="A21" s="8"/>
      <c r="B21" s="10">
        <v>45741</v>
      </c>
      <c r="C21" s="12">
        <v>-3.9699999999999999E-2</v>
      </c>
      <c r="D21" s="21">
        <v>337.5</v>
      </c>
      <c r="E21" s="21">
        <v>354.5</v>
      </c>
      <c r="F21" s="21">
        <v>356.4</v>
      </c>
      <c r="G21" s="21">
        <v>331.75</v>
      </c>
      <c r="H21" s="22">
        <v>5520000</v>
      </c>
      <c r="I21" s="17"/>
      <c r="M21" s="10">
        <v>45741</v>
      </c>
      <c r="N21" s="12">
        <v>-5.8299999999999998E-2</v>
      </c>
      <c r="O21" s="28">
        <v>209.81</v>
      </c>
      <c r="P21" s="28">
        <v>223.8</v>
      </c>
      <c r="Q21" s="28">
        <v>225.1</v>
      </c>
      <c r="R21" s="28">
        <v>209</v>
      </c>
      <c r="S21" s="22">
        <v>84180000</v>
      </c>
      <c r="T21" s="7"/>
    </row>
    <row r="22" spans="1:20" x14ac:dyDescent="0.3">
      <c r="A22" s="8"/>
      <c r="B22" s="10">
        <v>45742</v>
      </c>
      <c r="C22" s="12">
        <v>-4.0399999999999998E-2</v>
      </c>
      <c r="D22" s="21">
        <v>323.85000000000002</v>
      </c>
      <c r="E22" s="21">
        <v>330.7</v>
      </c>
      <c r="F22" s="21">
        <v>336</v>
      </c>
      <c r="G22" s="21">
        <v>321.2</v>
      </c>
      <c r="H22" s="22">
        <v>7490000</v>
      </c>
      <c r="I22" s="17"/>
      <c r="M22" s="10">
        <v>45742</v>
      </c>
      <c r="N22" s="12">
        <v>-3.1099999999999999E-2</v>
      </c>
      <c r="O22" s="28">
        <v>203.29</v>
      </c>
      <c r="P22" s="28">
        <v>202.35</v>
      </c>
      <c r="Q22" s="28">
        <v>206.9</v>
      </c>
      <c r="R22" s="28">
        <v>199.92</v>
      </c>
      <c r="S22" s="22">
        <v>114340000</v>
      </c>
      <c r="T22" s="7"/>
    </row>
    <row r="23" spans="1:20" x14ac:dyDescent="0.3">
      <c r="A23" s="8"/>
      <c r="B23" s="10">
        <v>45743</v>
      </c>
      <c r="C23" s="12">
        <v>3.6700000000000003E-2</v>
      </c>
      <c r="D23" s="21">
        <v>335.75</v>
      </c>
      <c r="E23" s="21">
        <v>323.85000000000002</v>
      </c>
      <c r="F23" s="21">
        <v>341</v>
      </c>
      <c r="G23" s="21">
        <v>312.64999999999998</v>
      </c>
      <c r="H23" s="22">
        <v>19590000</v>
      </c>
      <c r="I23" s="17"/>
      <c r="M23" s="10">
        <v>45743</v>
      </c>
      <c r="N23" s="12">
        <v>1.47E-2</v>
      </c>
      <c r="O23" s="28">
        <v>206.28</v>
      </c>
      <c r="P23" s="28">
        <v>204.47</v>
      </c>
      <c r="Q23" s="28">
        <v>208.75</v>
      </c>
      <c r="R23" s="28">
        <v>200.37</v>
      </c>
      <c r="S23" s="22">
        <v>400410000</v>
      </c>
      <c r="T23" s="7"/>
    </row>
    <row r="24" spans="1:20" x14ac:dyDescent="0.3">
      <c r="A24" s="8"/>
      <c r="B24" s="10">
        <v>45744</v>
      </c>
      <c r="C24" s="12">
        <v>-1.6500000000000001E-2</v>
      </c>
      <c r="D24" s="21">
        <v>330.2</v>
      </c>
      <c r="E24" s="21">
        <v>335</v>
      </c>
      <c r="F24" s="21">
        <v>342.2</v>
      </c>
      <c r="G24" s="21">
        <v>326.55</v>
      </c>
      <c r="H24" s="22">
        <v>10680000</v>
      </c>
      <c r="I24" s="17"/>
      <c r="M24" s="10">
        <v>45744</v>
      </c>
      <c r="N24" s="12">
        <v>-2.2200000000000001E-2</v>
      </c>
      <c r="O24" s="28">
        <v>201.7</v>
      </c>
      <c r="P24" s="28">
        <v>204.24</v>
      </c>
      <c r="Q24" s="28">
        <v>209.9</v>
      </c>
      <c r="R24" s="28">
        <v>200.5</v>
      </c>
      <c r="S24" s="22">
        <v>74840000</v>
      </c>
      <c r="T24" s="7"/>
    </row>
    <row r="25" spans="1:20" x14ac:dyDescent="0.3">
      <c r="A25" s="8"/>
      <c r="B25" s="10">
        <v>45748</v>
      </c>
      <c r="C25" s="12">
        <v>5.1000000000000004E-3</v>
      </c>
      <c r="D25" s="21">
        <v>331.9</v>
      </c>
      <c r="E25" s="21">
        <v>328.7</v>
      </c>
      <c r="F25" s="21">
        <v>339.3</v>
      </c>
      <c r="G25" s="21">
        <v>325.5</v>
      </c>
      <c r="H25" s="22">
        <v>5730000</v>
      </c>
      <c r="I25" s="17"/>
      <c r="M25" s="10">
        <v>45748</v>
      </c>
      <c r="N25" s="12">
        <v>1.5E-3</v>
      </c>
      <c r="O25" s="28">
        <v>202.01</v>
      </c>
      <c r="P25" s="28">
        <v>201.7</v>
      </c>
      <c r="Q25" s="28">
        <v>205</v>
      </c>
      <c r="R25" s="28">
        <v>198.85</v>
      </c>
      <c r="S25" s="22">
        <v>63370000</v>
      </c>
      <c r="T25" s="7"/>
    </row>
    <row r="26" spans="1:20" x14ac:dyDescent="0.3">
      <c r="A26" s="8"/>
      <c r="B26" s="10">
        <v>45749</v>
      </c>
      <c r="C26" s="12">
        <v>3.8300000000000001E-2</v>
      </c>
      <c r="D26" s="21">
        <v>344.6</v>
      </c>
      <c r="E26" s="21">
        <v>330</v>
      </c>
      <c r="F26" s="21">
        <v>351.4</v>
      </c>
      <c r="G26" s="21">
        <v>328.8</v>
      </c>
      <c r="H26" s="22">
        <v>10630000</v>
      </c>
      <c r="I26" s="17"/>
      <c r="M26" s="10">
        <v>45749</v>
      </c>
      <c r="N26" s="12">
        <v>4.9599999999999998E-2</v>
      </c>
      <c r="O26" s="28">
        <v>212.03</v>
      </c>
      <c r="P26" s="28">
        <v>203.5</v>
      </c>
      <c r="Q26" s="28">
        <v>212.6</v>
      </c>
      <c r="R26" s="28">
        <v>202</v>
      </c>
      <c r="S26" s="22">
        <v>59440000</v>
      </c>
      <c r="T26" s="7"/>
    </row>
    <row r="27" spans="1:20" x14ac:dyDescent="0.3">
      <c r="A27" s="8"/>
      <c r="B27" s="10">
        <v>45750</v>
      </c>
      <c r="C27" s="12">
        <v>1.6000000000000001E-3</v>
      </c>
      <c r="D27" s="21">
        <v>345.15</v>
      </c>
      <c r="E27" s="21">
        <v>341</v>
      </c>
      <c r="F27" s="21">
        <v>349.5</v>
      </c>
      <c r="G27" s="21">
        <v>338.15</v>
      </c>
      <c r="H27" s="22">
        <v>3400000</v>
      </c>
      <c r="I27" s="17"/>
      <c r="M27" s="10">
        <v>45750</v>
      </c>
      <c r="N27" s="12">
        <v>-5.3E-3</v>
      </c>
      <c r="O27" s="28">
        <v>210.9</v>
      </c>
      <c r="P27" s="28">
        <v>208.15</v>
      </c>
      <c r="Q27" s="28">
        <v>214</v>
      </c>
      <c r="R27" s="28">
        <v>208</v>
      </c>
      <c r="S27" s="22">
        <v>44450000</v>
      </c>
      <c r="T27" s="7"/>
    </row>
    <row r="28" spans="1:20" x14ac:dyDescent="0.3">
      <c r="A28" s="8"/>
      <c r="B28" s="10">
        <v>45751</v>
      </c>
      <c r="C28" s="12">
        <v>-2.2599999999999999E-2</v>
      </c>
      <c r="D28" s="21">
        <v>337.35</v>
      </c>
      <c r="E28" s="21">
        <v>342</v>
      </c>
      <c r="F28" s="21">
        <v>346.6</v>
      </c>
      <c r="G28" s="21">
        <v>335.1</v>
      </c>
      <c r="H28" s="22">
        <v>3340000</v>
      </c>
      <c r="I28" s="17"/>
      <c r="M28" s="10">
        <v>45751</v>
      </c>
      <c r="N28" s="12">
        <v>-1.8E-3</v>
      </c>
      <c r="O28" s="28">
        <v>210.53</v>
      </c>
      <c r="P28" s="28">
        <v>211.84</v>
      </c>
      <c r="Q28" s="28">
        <v>212.58</v>
      </c>
      <c r="R28" s="28">
        <v>205.67</v>
      </c>
      <c r="S28" s="22">
        <v>48300000</v>
      </c>
      <c r="T28" s="7"/>
    </row>
    <row r="29" spans="1:20" x14ac:dyDescent="0.3">
      <c r="A29" s="8"/>
      <c r="B29" s="10">
        <v>45754</v>
      </c>
      <c r="C29" s="12">
        <v>-4.6399999999999997E-2</v>
      </c>
      <c r="D29" s="21">
        <v>321.7</v>
      </c>
      <c r="E29" s="21">
        <v>310</v>
      </c>
      <c r="F29" s="21">
        <v>327.45</v>
      </c>
      <c r="G29" s="21">
        <v>306.95</v>
      </c>
      <c r="H29" s="22">
        <v>6540000</v>
      </c>
      <c r="I29" s="17"/>
      <c r="M29" s="10">
        <v>45754</v>
      </c>
      <c r="N29" s="12">
        <v>-4.3E-3</v>
      </c>
      <c r="O29" s="28">
        <v>209.63</v>
      </c>
      <c r="P29" s="28">
        <v>196</v>
      </c>
      <c r="Q29" s="28">
        <v>211</v>
      </c>
      <c r="R29" s="28">
        <v>194.8</v>
      </c>
      <c r="S29" s="22">
        <v>64930000.000000007</v>
      </c>
      <c r="T29" s="7"/>
    </row>
    <row r="30" spans="1:20" x14ac:dyDescent="0.3">
      <c r="A30" s="8"/>
      <c r="B30" s="10">
        <v>45755</v>
      </c>
      <c r="C30" s="12">
        <v>3.61E-2</v>
      </c>
      <c r="D30" s="21">
        <v>333.3</v>
      </c>
      <c r="E30" s="21">
        <v>329</v>
      </c>
      <c r="F30" s="21">
        <v>334.6</v>
      </c>
      <c r="G30" s="21">
        <v>322.55</v>
      </c>
      <c r="H30" s="22">
        <v>6090000</v>
      </c>
      <c r="I30" s="17"/>
      <c r="M30" s="10">
        <v>45755</v>
      </c>
      <c r="N30" s="12">
        <v>2.6499999999999999E-2</v>
      </c>
      <c r="O30" s="28">
        <v>215.19</v>
      </c>
      <c r="P30" s="28">
        <v>213.19</v>
      </c>
      <c r="Q30" s="28">
        <v>219.19</v>
      </c>
      <c r="R30" s="28">
        <v>210.81</v>
      </c>
      <c r="S30" s="22">
        <v>62000000</v>
      </c>
      <c r="T30" s="7"/>
    </row>
    <row r="31" spans="1:20" x14ac:dyDescent="0.3">
      <c r="A31" s="8"/>
      <c r="B31" s="10">
        <v>45756</v>
      </c>
      <c r="C31" s="12">
        <v>1.9400000000000001E-2</v>
      </c>
      <c r="D31" s="21">
        <v>339.75</v>
      </c>
      <c r="E31" s="21">
        <v>331</v>
      </c>
      <c r="F31" s="21">
        <v>345</v>
      </c>
      <c r="G31" s="21">
        <v>329.4</v>
      </c>
      <c r="H31" s="22">
        <v>8440000</v>
      </c>
      <c r="I31" s="17"/>
      <c r="M31" s="10">
        <v>45756</v>
      </c>
      <c r="N31" s="12">
        <v>-1.77E-2</v>
      </c>
      <c r="O31" s="28">
        <v>211.39</v>
      </c>
      <c r="P31" s="28">
        <v>216</v>
      </c>
      <c r="Q31" s="28">
        <v>216</v>
      </c>
      <c r="R31" s="28">
        <v>209.86</v>
      </c>
      <c r="S31" s="22">
        <v>25360000</v>
      </c>
      <c r="T31" s="7"/>
    </row>
    <row r="32" spans="1:20" x14ac:dyDescent="0.3">
      <c r="A32" s="8"/>
      <c r="B32" s="10">
        <v>45758</v>
      </c>
      <c r="C32" s="12">
        <v>-1.9900000000000001E-2</v>
      </c>
      <c r="D32" s="21">
        <v>333</v>
      </c>
      <c r="E32" s="21">
        <v>347</v>
      </c>
      <c r="F32" s="21">
        <v>347.1</v>
      </c>
      <c r="G32" s="21">
        <v>331.35</v>
      </c>
      <c r="H32" s="22">
        <v>6370000</v>
      </c>
      <c r="I32" s="17"/>
      <c r="M32" s="10">
        <v>45758</v>
      </c>
      <c r="N32" s="12">
        <v>2.75E-2</v>
      </c>
      <c r="O32" s="28">
        <v>217.2</v>
      </c>
      <c r="P32" s="28">
        <v>216</v>
      </c>
      <c r="Q32" s="28">
        <v>218.31</v>
      </c>
      <c r="R32" s="28">
        <v>214.1</v>
      </c>
      <c r="S32" s="22">
        <v>28920000</v>
      </c>
      <c r="T32" s="7"/>
    </row>
    <row r="33" spans="1:20" x14ac:dyDescent="0.3">
      <c r="A33" s="8"/>
      <c r="B33" s="10">
        <v>45762</v>
      </c>
      <c r="C33" s="12">
        <v>3.0000000000000001E-3</v>
      </c>
      <c r="D33" s="21">
        <v>334</v>
      </c>
      <c r="E33" s="21">
        <v>338</v>
      </c>
      <c r="F33" s="21">
        <v>342.8</v>
      </c>
      <c r="G33" s="21">
        <v>332.8</v>
      </c>
      <c r="H33" s="22">
        <v>2900000</v>
      </c>
      <c r="I33" s="17"/>
      <c r="M33" s="10">
        <v>45762</v>
      </c>
      <c r="N33" s="12">
        <v>2.3199999999999998E-2</v>
      </c>
      <c r="O33" s="28">
        <v>222.23</v>
      </c>
      <c r="P33" s="28">
        <v>224.25</v>
      </c>
      <c r="Q33" s="28">
        <v>224.25</v>
      </c>
      <c r="R33" s="28">
        <v>220.1</v>
      </c>
      <c r="S33" s="22">
        <v>45030000</v>
      </c>
      <c r="T33" s="7"/>
    </row>
    <row r="34" spans="1:20" x14ac:dyDescent="0.3">
      <c r="A34" s="8"/>
      <c r="B34" s="10">
        <v>45763</v>
      </c>
      <c r="C34" s="12">
        <v>6.7000000000000002E-3</v>
      </c>
      <c r="D34" s="21">
        <v>336.25</v>
      </c>
      <c r="E34" s="21">
        <v>334.5</v>
      </c>
      <c r="F34" s="21">
        <v>340.6</v>
      </c>
      <c r="G34" s="21">
        <v>334.25</v>
      </c>
      <c r="H34" s="22">
        <v>5650000</v>
      </c>
      <c r="I34" s="17"/>
      <c r="M34" s="10">
        <v>45763</v>
      </c>
      <c r="N34" s="12">
        <v>-6.9999999999999999E-4</v>
      </c>
      <c r="O34" s="28">
        <v>222.08</v>
      </c>
      <c r="P34" s="28">
        <v>220.51</v>
      </c>
      <c r="Q34" s="28">
        <v>222.64</v>
      </c>
      <c r="R34" s="28">
        <v>218.4</v>
      </c>
      <c r="S34" s="22">
        <v>26160000</v>
      </c>
      <c r="T34" s="7"/>
    </row>
    <row r="35" spans="1:20" x14ac:dyDescent="0.3">
      <c r="A35" s="8"/>
      <c r="B35" s="10">
        <v>45764</v>
      </c>
      <c r="C35" s="12">
        <v>1.35E-2</v>
      </c>
      <c r="D35" s="21">
        <v>340.8</v>
      </c>
      <c r="E35" s="21">
        <v>337</v>
      </c>
      <c r="F35" s="21">
        <v>350.7</v>
      </c>
      <c r="G35" s="21">
        <v>329.45</v>
      </c>
      <c r="H35" s="22">
        <v>10110000</v>
      </c>
      <c r="I35" s="17"/>
      <c r="M35" s="10">
        <v>45764</v>
      </c>
      <c r="N35" s="12">
        <v>4.2900000000000001E-2</v>
      </c>
      <c r="O35" s="28">
        <v>231.6</v>
      </c>
      <c r="P35" s="28">
        <v>220.6</v>
      </c>
      <c r="Q35" s="28">
        <v>236.14</v>
      </c>
      <c r="R35" s="28">
        <v>220.38</v>
      </c>
      <c r="S35" s="22">
        <v>70130000</v>
      </c>
      <c r="T35" s="7"/>
    </row>
    <row r="36" spans="1:20" x14ac:dyDescent="0.3">
      <c r="A36" s="8"/>
      <c r="B36" s="10">
        <v>45768</v>
      </c>
      <c r="C36" s="12">
        <v>8.8999999999999999E-3</v>
      </c>
      <c r="D36" s="21">
        <v>343.85</v>
      </c>
      <c r="E36" s="21">
        <v>342.45</v>
      </c>
      <c r="F36" s="21">
        <v>347.4</v>
      </c>
      <c r="G36" s="21">
        <v>341.65</v>
      </c>
      <c r="H36" s="22">
        <v>3330000</v>
      </c>
      <c r="I36" s="17"/>
      <c r="M36" s="10">
        <v>45768</v>
      </c>
      <c r="N36" s="12">
        <v>1.14E-2</v>
      </c>
      <c r="O36" s="28">
        <v>234.24</v>
      </c>
      <c r="P36" s="28">
        <v>229</v>
      </c>
      <c r="Q36" s="28">
        <v>235.3</v>
      </c>
      <c r="R36" s="28">
        <v>227.1</v>
      </c>
      <c r="S36" s="22">
        <v>66030000</v>
      </c>
      <c r="T36" s="7"/>
    </row>
    <row r="37" spans="1:20" x14ac:dyDescent="0.3">
      <c r="A37" s="8"/>
      <c r="B37" s="10">
        <v>45769</v>
      </c>
      <c r="C37" s="12">
        <v>-1.5E-3</v>
      </c>
      <c r="D37" s="21">
        <v>343.35</v>
      </c>
      <c r="E37" s="21">
        <v>343.85</v>
      </c>
      <c r="F37" s="21">
        <v>345.65</v>
      </c>
      <c r="G37" s="21">
        <v>338.55</v>
      </c>
      <c r="H37" s="22">
        <v>7970000</v>
      </c>
      <c r="I37" s="17"/>
      <c r="M37" s="10">
        <v>45769</v>
      </c>
      <c r="N37" s="12">
        <v>1.38E-2</v>
      </c>
      <c r="O37" s="28">
        <v>237.47</v>
      </c>
      <c r="P37" s="28">
        <v>236</v>
      </c>
      <c r="Q37" s="28">
        <v>243.45</v>
      </c>
      <c r="R37" s="28">
        <v>235</v>
      </c>
      <c r="S37" s="22">
        <v>59670000</v>
      </c>
      <c r="T37" s="7"/>
    </row>
    <row r="38" spans="1:20" x14ac:dyDescent="0.3">
      <c r="A38" s="8"/>
      <c r="B38" s="10">
        <v>45770</v>
      </c>
      <c r="C38" s="12">
        <v>1.37E-2</v>
      </c>
      <c r="D38" s="21">
        <v>348.05</v>
      </c>
      <c r="E38" s="21">
        <v>344.8</v>
      </c>
      <c r="F38" s="21">
        <v>349.45</v>
      </c>
      <c r="G38" s="21">
        <v>339.45</v>
      </c>
      <c r="H38" s="22">
        <v>4460000</v>
      </c>
      <c r="I38" s="17"/>
      <c r="M38" s="10">
        <v>45770</v>
      </c>
      <c r="N38" s="12">
        <v>7.4999999999999997E-3</v>
      </c>
      <c r="O38" s="28">
        <v>239.24</v>
      </c>
      <c r="P38" s="28">
        <v>237.48</v>
      </c>
      <c r="Q38" s="28">
        <v>240.25</v>
      </c>
      <c r="R38" s="28">
        <v>233.05</v>
      </c>
      <c r="S38" s="22">
        <v>42290000</v>
      </c>
      <c r="T38" s="7"/>
    </row>
    <row r="39" spans="1:20" x14ac:dyDescent="0.3">
      <c r="A39" s="8"/>
      <c r="B39" s="10">
        <v>45771</v>
      </c>
      <c r="C39" s="12">
        <v>-2.1399999999999999E-2</v>
      </c>
      <c r="D39" s="21">
        <v>340.6</v>
      </c>
      <c r="E39" s="21">
        <v>344.25</v>
      </c>
      <c r="F39" s="21">
        <v>351.45</v>
      </c>
      <c r="G39" s="21">
        <v>339.3</v>
      </c>
      <c r="H39" s="22">
        <v>5930000</v>
      </c>
      <c r="I39" s="17"/>
      <c r="M39" s="10">
        <v>45771</v>
      </c>
      <c r="N39" s="12">
        <v>-1.2E-2</v>
      </c>
      <c r="O39" s="28">
        <v>236.38</v>
      </c>
      <c r="P39" s="28">
        <v>237</v>
      </c>
      <c r="Q39" s="28">
        <v>241.37</v>
      </c>
      <c r="R39" s="28">
        <v>235</v>
      </c>
      <c r="S39" s="22">
        <v>46100000</v>
      </c>
      <c r="T39" s="7"/>
    </row>
    <row r="40" spans="1:20" x14ac:dyDescent="0.3">
      <c r="A40" s="8"/>
      <c r="B40" s="10">
        <v>45772</v>
      </c>
      <c r="C40" s="12">
        <v>-5.6399999999999999E-2</v>
      </c>
      <c r="D40" s="21">
        <v>321.39999999999998</v>
      </c>
      <c r="E40" s="21">
        <v>342.1</v>
      </c>
      <c r="F40" s="21">
        <v>343.35</v>
      </c>
      <c r="G40" s="21">
        <v>320</v>
      </c>
      <c r="H40" s="22">
        <v>6240000</v>
      </c>
      <c r="I40" s="17"/>
      <c r="M40" s="10">
        <v>45772</v>
      </c>
      <c r="N40" s="12">
        <v>-3.2000000000000001E-2</v>
      </c>
      <c r="O40" s="28">
        <v>228.81</v>
      </c>
      <c r="P40" s="28">
        <v>235.9</v>
      </c>
      <c r="Q40" s="28">
        <v>239</v>
      </c>
      <c r="R40" s="28">
        <v>227.31</v>
      </c>
      <c r="S40" s="22">
        <v>32439999.999999996</v>
      </c>
      <c r="T40" s="7"/>
    </row>
    <row r="41" spans="1:20" x14ac:dyDescent="0.3">
      <c r="A41" s="8"/>
      <c r="B41" s="10">
        <v>45775</v>
      </c>
      <c r="C41" s="12">
        <v>7.3000000000000001E-3</v>
      </c>
      <c r="D41" s="21">
        <v>323.75</v>
      </c>
      <c r="E41" s="21">
        <v>322.10000000000002</v>
      </c>
      <c r="F41" s="21">
        <v>328.7</v>
      </c>
      <c r="G41" s="21">
        <v>319.7</v>
      </c>
      <c r="H41" s="22">
        <v>4570000</v>
      </c>
      <c r="I41" s="17"/>
      <c r="M41" s="10">
        <v>45775</v>
      </c>
      <c r="N41" s="12">
        <v>-7.0000000000000001E-3</v>
      </c>
      <c r="O41" s="28">
        <v>227.21</v>
      </c>
      <c r="P41" s="28">
        <v>226</v>
      </c>
      <c r="Q41" s="28">
        <v>231.99</v>
      </c>
      <c r="R41" s="28">
        <v>225.06</v>
      </c>
      <c r="S41" s="22">
        <v>29330000</v>
      </c>
      <c r="T41" s="7"/>
    </row>
    <row r="42" spans="1:20" x14ac:dyDescent="0.3">
      <c r="A42" s="8"/>
      <c r="B42" s="10">
        <v>45776</v>
      </c>
      <c r="C42" s="12">
        <v>-1.2E-2</v>
      </c>
      <c r="D42" s="21">
        <v>319.85000000000002</v>
      </c>
      <c r="E42" s="21">
        <v>327.39999999999998</v>
      </c>
      <c r="F42" s="21">
        <v>328.35</v>
      </c>
      <c r="G42" s="21">
        <v>318.5</v>
      </c>
      <c r="H42" s="22">
        <v>2140000</v>
      </c>
      <c r="I42" s="17"/>
      <c r="M42" s="10">
        <v>45776</v>
      </c>
      <c r="N42" s="12">
        <v>1.72E-2</v>
      </c>
      <c r="O42" s="28">
        <v>231.11</v>
      </c>
      <c r="P42" s="28">
        <v>228.37</v>
      </c>
      <c r="Q42" s="28">
        <v>234.24</v>
      </c>
      <c r="R42" s="28">
        <v>226.6</v>
      </c>
      <c r="S42" s="22">
        <v>32759999.999999996</v>
      </c>
      <c r="T42" s="7"/>
    </row>
    <row r="43" spans="1:20" x14ac:dyDescent="0.3">
      <c r="A43" s="8"/>
      <c r="B43" s="10">
        <v>45777</v>
      </c>
      <c r="C43" s="12">
        <v>-1.0800000000000001E-2</v>
      </c>
      <c r="D43" s="21">
        <v>316.39999999999998</v>
      </c>
      <c r="E43" s="21">
        <v>326.85000000000002</v>
      </c>
      <c r="F43" s="21">
        <v>326.85000000000002</v>
      </c>
      <c r="G43" s="21">
        <v>309.14999999999998</v>
      </c>
      <c r="H43" s="22">
        <v>8199999.9999999991</v>
      </c>
      <c r="I43" s="17"/>
      <c r="M43" s="10">
        <v>45777</v>
      </c>
      <c r="N43" s="12">
        <v>6.1000000000000004E-3</v>
      </c>
      <c r="O43" s="28">
        <v>232.52</v>
      </c>
      <c r="P43" s="28">
        <v>232</v>
      </c>
      <c r="Q43" s="28">
        <v>234.75</v>
      </c>
      <c r="R43" s="28">
        <v>226.1</v>
      </c>
      <c r="S43" s="22">
        <v>45830000</v>
      </c>
      <c r="T43" s="7"/>
    </row>
    <row r="44" spans="1:20" x14ac:dyDescent="0.3">
      <c r="A44" s="8"/>
      <c r="B44" s="10">
        <v>45779</v>
      </c>
      <c r="C44" s="12">
        <v>-3.5099999999999999E-2</v>
      </c>
      <c r="D44" s="21">
        <v>305.3</v>
      </c>
      <c r="E44" s="21">
        <v>314</v>
      </c>
      <c r="F44" s="21">
        <v>317.89999999999998</v>
      </c>
      <c r="G44" s="21">
        <v>303</v>
      </c>
      <c r="H44" s="22">
        <v>8690000</v>
      </c>
      <c r="I44" s="17"/>
      <c r="M44" s="10">
        <v>45779</v>
      </c>
      <c r="N44" s="12">
        <v>7.6E-3</v>
      </c>
      <c r="O44" s="28">
        <v>234.29</v>
      </c>
      <c r="P44" s="28">
        <v>220.05</v>
      </c>
      <c r="Q44" s="28">
        <v>239.5</v>
      </c>
      <c r="R44" s="28">
        <v>220.05</v>
      </c>
      <c r="S44" s="22">
        <v>104910000</v>
      </c>
      <c r="T44" s="7"/>
    </row>
    <row r="45" spans="1:20" x14ac:dyDescent="0.3">
      <c r="A45" s="8"/>
      <c r="B45" s="10">
        <v>45782</v>
      </c>
      <c r="C45" s="12">
        <v>0.12659999999999999</v>
      </c>
      <c r="D45" s="21">
        <v>343.95</v>
      </c>
      <c r="E45" s="21">
        <v>310</v>
      </c>
      <c r="F45" s="21">
        <v>356.65</v>
      </c>
      <c r="G45" s="21">
        <v>304.2</v>
      </c>
      <c r="H45" s="22">
        <v>44620000</v>
      </c>
      <c r="I45" s="17"/>
      <c r="M45" s="10">
        <v>45782</v>
      </c>
      <c r="N45" s="12">
        <v>2.3900000000000001E-2</v>
      </c>
      <c r="O45" s="28">
        <v>239.9</v>
      </c>
      <c r="P45" s="28">
        <v>234.5</v>
      </c>
      <c r="Q45" s="28">
        <v>240.97</v>
      </c>
      <c r="R45" s="28">
        <v>232.93</v>
      </c>
      <c r="S45" s="22">
        <v>37950000</v>
      </c>
      <c r="T45" s="7"/>
    </row>
    <row r="46" spans="1:20" x14ac:dyDescent="0.3">
      <c r="A46" s="8"/>
      <c r="B46" s="10">
        <v>45783</v>
      </c>
      <c r="C46" s="12">
        <v>-4.1999999999999997E-3</v>
      </c>
      <c r="D46" s="21">
        <v>342.5</v>
      </c>
      <c r="E46" s="21">
        <v>337</v>
      </c>
      <c r="F46" s="21">
        <v>344.9</v>
      </c>
      <c r="G46" s="21">
        <v>332.6</v>
      </c>
      <c r="H46" s="22">
        <v>18750000</v>
      </c>
      <c r="I46" s="17"/>
      <c r="M46" s="10">
        <v>45783</v>
      </c>
      <c r="N46" s="12">
        <v>-3.0300000000000001E-2</v>
      </c>
      <c r="O46" s="28">
        <v>232.64</v>
      </c>
      <c r="P46" s="28">
        <v>240</v>
      </c>
      <c r="Q46" s="28">
        <v>241.5</v>
      </c>
      <c r="R46" s="28">
        <v>231.85</v>
      </c>
      <c r="S46" s="22">
        <v>25330000</v>
      </c>
      <c r="T46" s="7"/>
    </row>
    <row r="47" spans="1:20" x14ac:dyDescent="0.3">
      <c r="A47" s="8"/>
      <c r="B47" s="10">
        <v>45784</v>
      </c>
      <c r="C47" s="12">
        <v>-0.04</v>
      </c>
      <c r="D47" s="21">
        <v>328.8</v>
      </c>
      <c r="E47" s="21">
        <v>322.05</v>
      </c>
      <c r="F47" s="21">
        <v>338.75</v>
      </c>
      <c r="G47" s="21">
        <v>322.05</v>
      </c>
      <c r="H47" s="22">
        <v>12820000</v>
      </c>
      <c r="I47" s="17"/>
      <c r="M47" s="10">
        <v>45784</v>
      </c>
      <c r="N47" s="12">
        <v>1.83E-2</v>
      </c>
      <c r="O47" s="28">
        <v>236.9</v>
      </c>
      <c r="P47" s="28">
        <v>228.6</v>
      </c>
      <c r="Q47" s="28">
        <v>237.67</v>
      </c>
      <c r="R47" s="28">
        <v>228.6</v>
      </c>
      <c r="S47" s="22">
        <v>31610000</v>
      </c>
      <c r="T47" s="7"/>
    </row>
    <row r="48" spans="1:20" x14ac:dyDescent="0.3">
      <c r="A48" s="8"/>
      <c r="B48" s="10">
        <v>45785</v>
      </c>
      <c r="C48" s="12">
        <v>-4.1399999999999999E-2</v>
      </c>
      <c r="D48" s="21">
        <v>315.2</v>
      </c>
      <c r="E48" s="21">
        <v>332.9</v>
      </c>
      <c r="F48" s="21">
        <v>335.35</v>
      </c>
      <c r="G48" s="21">
        <v>311.55</v>
      </c>
      <c r="H48" s="22">
        <v>7030000</v>
      </c>
      <c r="I48" s="17"/>
      <c r="M48" s="10">
        <v>45785</v>
      </c>
      <c r="N48" s="12">
        <v>-2.9899999999999999E-2</v>
      </c>
      <c r="O48" s="28">
        <v>229.81</v>
      </c>
      <c r="P48" s="28">
        <v>235.25</v>
      </c>
      <c r="Q48" s="28">
        <v>236.45</v>
      </c>
      <c r="R48" s="28">
        <v>226.6</v>
      </c>
      <c r="S48" s="22">
        <v>49890000</v>
      </c>
      <c r="T48" s="7"/>
    </row>
    <row r="49" spans="1:20" x14ac:dyDescent="0.3">
      <c r="A49" s="8"/>
      <c r="B49" s="10">
        <v>45786</v>
      </c>
      <c r="C49" s="12">
        <v>-6.7000000000000002E-3</v>
      </c>
      <c r="D49" s="21">
        <v>313.10000000000002</v>
      </c>
      <c r="E49" s="21">
        <v>306</v>
      </c>
      <c r="F49" s="21">
        <v>314.60000000000002</v>
      </c>
      <c r="G49" s="21">
        <v>303.60000000000002</v>
      </c>
      <c r="H49" s="22">
        <v>7750000</v>
      </c>
      <c r="I49" s="17"/>
      <c r="M49" s="10">
        <v>45786</v>
      </c>
      <c r="N49" s="12">
        <v>-1.1599999999999999E-2</v>
      </c>
      <c r="O49" s="28">
        <v>227.14</v>
      </c>
      <c r="P49" s="28">
        <v>222</v>
      </c>
      <c r="Q49" s="28">
        <v>229</v>
      </c>
      <c r="R49" s="28">
        <v>222</v>
      </c>
      <c r="S49" s="22">
        <v>24420000</v>
      </c>
      <c r="T49" s="7"/>
    </row>
    <row r="50" spans="1:20" x14ac:dyDescent="0.3">
      <c r="A50" s="8"/>
      <c r="B50" s="10">
        <v>45789</v>
      </c>
      <c r="C50" s="12">
        <v>2.3E-2</v>
      </c>
      <c r="D50" s="21">
        <v>320.3</v>
      </c>
      <c r="E50" s="21">
        <v>319.39999999999998</v>
      </c>
      <c r="F50" s="21">
        <v>325</v>
      </c>
      <c r="G50" s="21">
        <v>306.25</v>
      </c>
      <c r="H50" s="22">
        <v>22530000</v>
      </c>
      <c r="I50" s="17"/>
      <c r="M50" s="10">
        <v>45789</v>
      </c>
      <c r="N50" s="12">
        <v>5.4399999999999997E-2</v>
      </c>
      <c r="O50" s="28">
        <v>239.5</v>
      </c>
      <c r="P50" s="28">
        <v>232</v>
      </c>
      <c r="Q50" s="28">
        <v>240</v>
      </c>
      <c r="R50" s="28">
        <v>232</v>
      </c>
      <c r="S50" s="22">
        <v>31760000</v>
      </c>
      <c r="T50" s="7"/>
    </row>
    <row r="51" spans="1:20" x14ac:dyDescent="0.3">
      <c r="A51" s="8"/>
      <c r="B51" s="10">
        <v>45790</v>
      </c>
      <c r="C51" s="12">
        <v>-3.04E-2</v>
      </c>
      <c r="D51" s="21">
        <v>310.55</v>
      </c>
      <c r="E51" s="21">
        <v>305</v>
      </c>
      <c r="F51" s="21">
        <v>315.7</v>
      </c>
      <c r="G51" s="21">
        <v>297</v>
      </c>
      <c r="H51" s="22">
        <v>99270000</v>
      </c>
      <c r="I51" s="17"/>
      <c r="M51" s="10">
        <v>45790</v>
      </c>
      <c r="N51" s="12">
        <v>-3.2800000000000003E-2</v>
      </c>
      <c r="O51" s="28">
        <v>231.65</v>
      </c>
      <c r="P51" s="28">
        <v>238</v>
      </c>
      <c r="Q51" s="28">
        <v>239.47</v>
      </c>
      <c r="R51" s="28">
        <v>231.05</v>
      </c>
      <c r="S51" s="22">
        <v>44840000</v>
      </c>
      <c r="T51" s="7"/>
    </row>
    <row r="52" spans="1:20" x14ac:dyDescent="0.3">
      <c r="A52" s="8"/>
      <c r="B52" s="10">
        <v>45791</v>
      </c>
      <c r="C52" s="12">
        <v>-1.0500000000000001E-2</v>
      </c>
      <c r="D52" s="21">
        <v>307.3</v>
      </c>
      <c r="E52" s="21">
        <v>313.2</v>
      </c>
      <c r="F52" s="21">
        <v>313.39999999999998</v>
      </c>
      <c r="G52" s="21">
        <v>306</v>
      </c>
      <c r="H52" s="22">
        <v>23570000</v>
      </c>
      <c r="I52" s="17"/>
      <c r="M52" s="10">
        <v>45791</v>
      </c>
      <c r="N52" s="12">
        <v>2.2499999999999999E-2</v>
      </c>
      <c r="O52" s="28">
        <v>236.86</v>
      </c>
      <c r="P52" s="28">
        <v>232</v>
      </c>
      <c r="Q52" s="28">
        <v>237.44</v>
      </c>
      <c r="R52" s="28">
        <v>232</v>
      </c>
      <c r="S52" s="22">
        <v>23160000</v>
      </c>
      <c r="T52" s="7"/>
    </row>
    <row r="53" spans="1:20" x14ac:dyDescent="0.3">
      <c r="A53" s="8"/>
      <c r="B53" s="10">
        <v>45792</v>
      </c>
      <c r="C53" s="12">
        <v>2.9100000000000001E-2</v>
      </c>
      <c r="D53" s="21">
        <v>316.25</v>
      </c>
      <c r="E53" s="21">
        <v>310</v>
      </c>
      <c r="F53" s="21">
        <v>318.14999999999998</v>
      </c>
      <c r="G53" s="21">
        <v>308.14999999999998</v>
      </c>
      <c r="H53" s="22">
        <v>24140000</v>
      </c>
      <c r="I53" s="17"/>
      <c r="M53" s="10">
        <v>45792</v>
      </c>
      <c r="N53" s="12">
        <v>2.4199999999999999E-2</v>
      </c>
      <c r="O53" s="28">
        <v>242.59</v>
      </c>
      <c r="P53" s="28">
        <v>236.2</v>
      </c>
      <c r="Q53" s="28">
        <v>245.3</v>
      </c>
      <c r="R53" s="28">
        <v>233.75</v>
      </c>
      <c r="S53" s="22">
        <v>40340000</v>
      </c>
      <c r="T53" s="7"/>
    </row>
    <row r="54" spans="1:20" x14ac:dyDescent="0.3">
      <c r="A54" s="8"/>
      <c r="B54" s="10">
        <v>45793</v>
      </c>
      <c r="C54" s="12">
        <v>1.5699999999999999E-2</v>
      </c>
      <c r="D54" s="21">
        <v>321.2</v>
      </c>
      <c r="E54" s="21">
        <v>317.8</v>
      </c>
      <c r="F54" s="21">
        <v>327.2</v>
      </c>
      <c r="G54" s="21">
        <v>315.3</v>
      </c>
      <c r="H54" s="22">
        <v>23410000</v>
      </c>
      <c r="I54" s="17"/>
      <c r="M54" s="10">
        <v>45793</v>
      </c>
      <c r="N54" s="12">
        <v>1.3100000000000001E-2</v>
      </c>
      <c r="O54" s="28">
        <v>245.76</v>
      </c>
      <c r="P54" s="28">
        <v>242.6</v>
      </c>
      <c r="Q54" s="28">
        <v>246.94</v>
      </c>
      <c r="R54" s="28">
        <v>242</v>
      </c>
      <c r="S54" s="22">
        <v>30850000</v>
      </c>
      <c r="T54" s="7"/>
    </row>
    <row r="55" spans="1:20" x14ac:dyDescent="0.3">
      <c r="A55" s="8"/>
      <c r="B55" s="10">
        <v>45796</v>
      </c>
      <c r="C55" s="12">
        <v>7.1999999999999998E-3</v>
      </c>
      <c r="D55" s="21">
        <v>323.5</v>
      </c>
      <c r="E55" s="21">
        <v>321.8</v>
      </c>
      <c r="F55" s="21">
        <v>328.8</v>
      </c>
      <c r="G55" s="21">
        <v>319.2</v>
      </c>
      <c r="H55" s="22">
        <v>19850000</v>
      </c>
      <c r="I55" s="17"/>
      <c r="M55" s="10">
        <v>45796</v>
      </c>
      <c r="N55" s="12">
        <v>-3.15E-2</v>
      </c>
      <c r="O55" s="28">
        <v>238.03</v>
      </c>
      <c r="P55" s="28">
        <v>245.84</v>
      </c>
      <c r="Q55" s="28">
        <v>246.59</v>
      </c>
      <c r="R55" s="28">
        <v>237.43</v>
      </c>
      <c r="S55" s="22">
        <v>21820000</v>
      </c>
      <c r="T55" s="7"/>
    </row>
    <row r="56" spans="1:20" x14ac:dyDescent="0.3">
      <c r="A56" s="8"/>
      <c r="B56" s="10">
        <v>45797</v>
      </c>
      <c r="C56" s="12">
        <v>-3.7600000000000001E-2</v>
      </c>
      <c r="D56" s="21">
        <v>311.35000000000002</v>
      </c>
      <c r="E56" s="21">
        <v>325</v>
      </c>
      <c r="F56" s="21">
        <v>325.3</v>
      </c>
      <c r="G56" s="21">
        <v>310.14999999999998</v>
      </c>
      <c r="H56" s="22">
        <v>17530000</v>
      </c>
      <c r="I56" s="17"/>
      <c r="M56" s="10">
        <v>45797</v>
      </c>
      <c r="N56" s="12">
        <v>-4.1000000000000002E-2</v>
      </c>
      <c r="O56" s="28">
        <v>228.28</v>
      </c>
      <c r="P56" s="28">
        <v>240</v>
      </c>
      <c r="Q56" s="28">
        <v>240</v>
      </c>
      <c r="R56" s="28">
        <v>227.88</v>
      </c>
      <c r="S56" s="22">
        <v>45890000</v>
      </c>
      <c r="T56" s="7"/>
    </row>
    <row r="57" spans="1:20" x14ac:dyDescent="0.3">
      <c r="A57" s="8"/>
      <c r="B57" s="10">
        <v>45798</v>
      </c>
      <c r="C57" s="12">
        <v>7.9000000000000008E-3</v>
      </c>
      <c r="D57" s="21">
        <v>313.8</v>
      </c>
      <c r="E57" s="21">
        <v>313.64999999999998</v>
      </c>
      <c r="F57" s="21">
        <v>315</v>
      </c>
      <c r="G57" s="21">
        <v>308.7</v>
      </c>
      <c r="H57" s="22">
        <v>14720000</v>
      </c>
      <c r="I57" s="17"/>
      <c r="M57" s="10">
        <v>45798</v>
      </c>
      <c r="N57" s="12">
        <v>7.4000000000000003E-3</v>
      </c>
      <c r="O57" s="28">
        <v>229.97</v>
      </c>
      <c r="P57" s="28">
        <v>227</v>
      </c>
      <c r="Q57" s="28">
        <v>230.3</v>
      </c>
      <c r="R57" s="28">
        <v>224.18</v>
      </c>
      <c r="S57" s="22">
        <v>47170000</v>
      </c>
      <c r="T57" s="7"/>
    </row>
    <row r="58" spans="1:20" x14ac:dyDescent="0.3">
      <c r="A58" s="8"/>
      <c r="B58" s="10">
        <v>45799</v>
      </c>
      <c r="C58" s="12">
        <v>4.0000000000000001E-3</v>
      </c>
      <c r="D58" s="21">
        <v>315.05</v>
      </c>
      <c r="E58" s="21">
        <v>311.05</v>
      </c>
      <c r="F58" s="21">
        <v>318.2</v>
      </c>
      <c r="G58" s="21">
        <v>310.14999999999998</v>
      </c>
      <c r="H58" s="22">
        <v>7790000</v>
      </c>
      <c r="I58" s="17"/>
      <c r="M58" s="10">
        <v>45799</v>
      </c>
      <c r="N58" s="12">
        <v>-4.1000000000000003E-3</v>
      </c>
      <c r="O58" s="28">
        <v>229.02</v>
      </c>
      <c r="P58" s="28">
        <v>228.97</v>
      </c>
      <c r="Q58" s="28">
        <v>230.88</v>
      </c>
      <c r="R58" s="28">
        <v>227.03</v>
      </c>
      <c r="S58" s="22">
        <v>28800000</v>
      </c>
      <c r="T58" s="7"/>
    </row>
    <row r="59" spans="1:20" x14ac:dyDescent="0.3">
      <c r="A59" s="8"/>
      <c r="B59" s="10">
        <v>45800</v>
      </c>
      <c r="C59" s="12">
        <v>2.7300000000000001E-2</v>
      </c>
      <c r="D59" s="21">
        <v>323.64999999999998</v>
      </c>
      <c r="E59" s="21">
        <v>317.05</v>
      </c>
      <c r="F59" s="21">
        <v>326.5</v>
      </c>
      <c r="G59" s="21">
        <v>311.45</v>
      </c>
      <c r="H59" s="22">
        <v>14200000</v>
      </c>
      <c r="I59" s="17"/>
      <c r="M59" s="10">
        <v>45800</v>
      </c>
      <c r="N59" s="12">
        <v>3.7199999999999997E-2</v>
      </c>
      <c r="O59" s="28">
        <v>237.55</v>
      </c>
      <c r="P59" s="28">
        <v>229.12</v>
      </c>
      <c r="Q59" s="28">
        <v>240.7</v>
      </c>
      <c r="R59" s="28">
        <v>228.87</v>
      </c>
      <c r="S59" s="22">
        <v>42180000</v>
      </c>
      <c r="T59" s="7"/>
    </row>
    <row r="60" spans="1:20" x14ac:dyDescent="0.3">
      <c r="A60" s="8"/>
      <c r="B60" s="10">
        <v>45803</v>
      </c>
      <c r="C60" s="12">
        <v>-8.6999999999999994E-3</v>
      </c>
      <c r="D60" s="21">
        <v>320.85000000000002</v>
      </c>
      <c r="E60" s="21">
        <v>324.89999999999998</v>
      </c>
      <c r="F60" s="21">
        <v>327.10000000000002</v>
      </c>
      <c r="G60" s="21">
        <v>318.55</v>
      </c>
      <c r="H60" s="22">
        <v>8610000</v>
      </c>
      <c r="I60" s="17"/>
      <c r="M60" s="10">
        <v>45803</v>
      </c>
      <c r="N60" s="12">
        <v>-4.53E-2</v>
      </c>
      <c r="O60" s="28">
        <v>226.8</v>
      </c>
      <c r="P60" s="28">
        <v>232.8</v>
      </c>
      <c r="Q60" s="28">
        <v>232.8</v>
      </c>
      <c r="R60" s="28">
        <v>225.65</v>
      </c>
      <c r="S60" s="22">
        <v>89150000</v>
      </c>
      <c r="T60" s="7"/>
    </row>
    <row r="61" spans="1:20" x14ac:dyDescent="0.3">
      <c r="A61" s="8"/>
      <c r="B61" s="10">
        <v>45804</v>
      </c>
      <c r="C61" s="12">
        <v>-2.2000000000000001E-3</v>
      </c>
      <c r="D61" s="21">
        <v>320.14999999999998</v>
      </c>
      <c r="E61" s="21">
        <v>322</v>
      </c>
      <c r="F61" s="21">
        <v>325.35000000000002</v>
      </c>
      <c r="G61" s="21">
        <v>317.89999999999998</v>
      </c>
      <c r="H61" s="22">
        <v>7970000</v>
      </c>
      <c r="I61" s="17"/>
      <c r="M61" s="10">
        <v>45804</v>
      </c>
      <c r="N61" s="12">
        <v>-8.8999999999999999E-3</v>
      </c>
      <c r="O61" s="28">
        <v>224.79</v>
      </c>
      <c r="P61" s="28">
        <v>226.4</v>
      </c>
      <c r="Q61" s="28">
        <v>227.47</v>
      </c>
      <c r="R61" s="28">
        <v>221.1</v>
      </c>
      <c r="S61" s="22">
        <v>224660000</v>
      </c>
      <c r="T61" s="7"/>
    </row>
    <row r="62" spans="1:20" x14ac:dyDescent="0.3">
      <c r="A62" s="8"/>
      <c r="B62" s="10">
        <v>45805</v>
      </c>
      <c r="C62" s="12">
        <v>2.0000000000000001E-4</v>
      </c>
      <c r="D62" s="21">
        <v>320.2</v>
      </c>
      <c r="E62" s="21">
        <v>320.35000000000002</v>
      </c>
      <c r="F62" s="21">
        <v>326.89999999999998</v>
      </c>
      <c r="G62" s="21">
        <v>318.5</v>
      </c>
      <c r="H62" s="22">
        <v>11060000</v>
      </c>
      <c r="I62" s="17"/>
      <c r="M62" s="10">
        <v>45805</v>
      </c>
      <c r="N62" s="12">
        <v>-2.7000000000000001E-3</v>
      </c>
      <c r="O62" s="28">
        <v>224.18</v>
      </c>
      <c r="P62" s="28">
        <v>225.9</v>
      </c>
      <c r="Q62" s="28">
        <v>225.9</v>
      </c>
      <c r="R62" s="28">
        <v>223.2</v>
      </c>
      <c r="S62" s="22">
        <v>43530000</v>
      </c>
      <c r="T62" s="7"/>
    </row>
    <row r="63" spans="1:20" x14ac:dyDescent="0.3">
      <c r="A63" s="8"/>
      <c r="B63" s="10">
        <v>45806</v>
      </c>
      <c r="C63" s="12">
        <v>2.7E-2</v>
      </c>
      <c r="D63" s="21">
        <v>328.85</v>
      </c>
      <c r="E63" s="21">
        <v>321.3</v>
      </c>
      <c r="F63" s="21">
        <v>331.2</v>
      </c>
      <c r="G63" s="21">
        <v>320</v>
      </c>
      <c r="H63" s="22">
        <v>21760000</v>
      </c>
      <c r="I63" s="17"/>
      <c r="M63" s="10">
        <v>45806</v>
      </c>
      <c r="N63" s="12">
        <v>1.8700000000000001E-2</v>
      </c>
      <c r="O63" s="28">
        <v>228.37</v>
      </c>
      <c r="P63" s="28">
        <v>224.5</v>
      </c>
      <c r="Q63" s="28">
        <v>229.35</v>
      </c>
      <c r="R63" s="28">
        <v>224.03</v>
      </c>
      <c r="S63" s="22">
        <v>54570000</v>
      </c>
      <c r="T63" s="7"/>
    </row>
    <row r="64" spans="1:20" x14ac:dyDescent="0.3">
      <c r="A64" s="8"/>
      <c r="B64" s="10">
        <v>45807</v>
      </c>
      <c r="C64" s="12">
        <v>1.2800000000000001E-2</v>
      </c>
      <c r="D64" s="21">
        <v>333.05</v>
      </c>
      <c r="E64" s="21">
        <v>328.95</v>
      </c>
      <c r="F64" s="21">
        <v>338.2</v>
      </c>
      <c r="G64" s="21">
        <v>327.64999999999998</v>
      </c>
      <c r="H64" s="22">
        <v>19700000</v>
      </c>
      <c r="I64" s="17"/>
      <c r="M64" s="10">
        <v>45807</v>
      </c>
      <c r="N64" s="12">
        <v>4.3499999999999997E-2</v>
      </c>
      <c r="O64" s="28">
        <v>238.31</v>
      </c>
      <c r="P64" s="28">
        <v>226.56</v>
      </c>
      <c r="Q64" s="28">
        <v>243</v>
      </c>
      <c r="R64" s="28">
        <v>226.56</v>
      </c>
      <c r="S64" s="22">
        <v>467570000</v>
      </c>
      <c r="T64" s="7"/>
    </row>
    <row r="65" spans="1:20" x14ac:dyDescent="0.3">
      <c r="A65" s="8"/>
      <c r="B65" s="10">
        <v>45810</v>
      </c>
      <c r="C65" s="12">
        <v>8.0000000000000004E-4</v>
      </c>
      <c r="D65" s="21">
        <v>333.3</v>
      </c>
      <c r="E65" s="21">
        <v>330.85</v>
      </c>
      <c r="F65" s="21">
        <v>343.55</v>
      </c>
      <c r="G65" s="21">
        <v>327.95</v>
      </c>
      <c r="H65" s="22">
        <v>16850000</v>
      </c>
      <c r="I65" s="17"/>
      <c r="M65" s="10">
        <v>45810</v>
      </c>
      <c r="N65" s="12">
        <v>1.21E-2</v>
      </c>
      <c r="O65" s="28">
        <v>241.2</v>
      </c>
      <c r="P65" s="28">
        <v>237.31</v>
      </c>
      <c r="Q65" s="28">
        <v>243</v>
      </c>
      <c r="R65" s="28">
        <v>236.11</v>
      </c>
      <c r="S65" s="22">
        <v>55690000</v>
      </c>
      <c r="T65" s="7"/>
    </row>
    <row r="66" spans="1:20" x14ac:dyDescent="0.3">
      <c r="A66" s="8"/>
      <c r="B66" s="10">
        <v>45811</v>
      </c>
      <c r="C66" s="12">
        <v>-2.9999999999999997E-4</v>
      </c>
      <c r="D66" s="21">
        <v>333.2</v>
      </c>
      <c r="E66" s="21">
        <v>338</v>
      </c>
      <c r="F66" s="21">
        <v>347.25</v>
      </c>
      <c r="G66" s="21">
        <v>330.6</v>
      </c>
      <c r="H66" s="22">
        <v>25830000</v>
      </c>
      <c r="I66" s="17"/>
      <c r="M66" s="10">
        <v>45811</v>
      </c>
      <c r="N66" s="12">
        <v>-1.4500000000000001E-2</v>
      </c>
      <c r="O66" s="28">
        <v>237.7</v>
      </c>
      <c r="P66" s="28">
        <v>245</v>
      </c>
      <c r="Q66" s="28">
        <v>245.83</v>
      </c>
      <c r="R66" s="28">
        <v>236.75</v>
      </c>
      <c r="S66" s="22">
        <v>91880000</v>
      </c>
      <c r="T66" s="7"/>
    </row>
    <row r="67" spans="1:20" x14ac:dyDescent="0.3">
      <c r="A67" s="8"/>
      <c r="B67" s="10">
        <v>45812</v>
      </c>
      <c r="C67" s="12">
        <v>8.8700000000000001E-2</v>
      </c>
      <c r="D67" s="21">
        <v>362.75</v>
      </c>
      <c r="E67" s="21">
        <v>335.4</v>
      </c>
      <c r="F67" s="21">
        <v>364.95</v>
      </c>
      <c r="G67" s="21">
        <v>335.1</v>
      </c>
      <c r="H67" s="22">
        <v>52630000</v>
      </c>
      <c r="I67" s="17"/>
      <c r="M67" s="10">
        <v>45812</v>
      </c>
      <c r="N67" s="12">
        <v>3.3599999999999998E-2</v>
      </c>
      <c r="O67" s="28">
        <v>245.68</v>
      </c>
      <c r="P67" s="28">
        <v>237.1</v>
      </c>
      <c r="Q67" s="28">
        <v>248</v>
      </c>
      <c r="R67" s="28">
        <v>237.1</v>
      </c>
      <c r="S67" s="22">
        <v>70630000</v>
      </c>
      <c r="T67" s="7"/>
    </row>
    <row r="68" spans="1:20" x14ac:dyDescent="0.3">
      <c r="A68" s="8"/>
      <c r="B68" s="10">
        <v>45813</v>
      </c>
      <c r="C68" s="12">
        <v>3.8999999999999998E-3</v>
      </c>
      <c r="D68" s="21">
        <v>364.15</v>
      </c>
      <c r="E68" s="21">
        <v>361</v>
      </c>
      <c r="F68" s="21">
        <v>370</v>
      </c>
      <c r="G68" s="21">
        <v>357.1</v>
      </c>
      <c r="H68" s="22">
        <v>40090000</v>
      </c>
      <c r="I68" s="17"/>
      <c r="M68" s="10">
        <v>45813</v>
      </c>
      <c r="N68" s="12">
        <v>4.4299999999999999E-2</v>
      </c>
      <c r="O68" s="28">
        <v>256.56</v>
      </c>
      <c r="P68" s="28">
        <v>248</v>
      </c>
      <c r="Q68" s="28">
        <v>260.22000000000003</v>
      </c>
      <c r="R68" s="28">
        <v>247.99</v>
      </c>
      <c r="S68" s="22">
        <v>127800000</v>
      </c>
      <c r="T68" s="7"/>
    </row>
    <row r="69" spans="1:20" x14ac:dyDescent="0.3">
      <c r="A69" s="8"/>
      <c r="B69" s="10">
        <v>45814</v>
      </c>
      <c r="C69" s="12">
        <v>2.8299999999999999E-2</v>
      </c>
      <c r="D69" s="21">
        <v>374.45</v>
      </c>
      <c r="E69" s="21">
        <v>365.75</v>
      </c>
      <c r="F69" s="21">
        <v>376.5</v>
      </c>
      <c r="G69" s="21">
        <v>365.15</v>
      </c>
      <c r="H69" s="22">
        <v>23370000</v>
      </c>
      <c r="I69" s="17"/>
      <c r="M69" s="10">
        <v>45814</v>
      </c>
      <c r="N69" s="12">
        <v>2.07E-2</v>
      </c>
      <c r="O69" s="28">
        <v>261.86</v>
      </c>
      <c r="P69" s="28">
        <v>256.56</v>
      </c>
      <c r="Q69" s="28">
        <v>264</v>
      </c>
      <c r="R69" s="28">
        <v>256.01</v>
      </c>
      <c r="S69" s="22">
        <v>66230000.000000007</v>
      </c>
      <c r="T69" s="7"/>
    </row>
    <row r="70" spans="1:20" x14ac:dyDescent="0.3">
      <c r="A70" s="8"/>
      <c r="B70" s="10">
        <v>45817</v>
      </c>
      <c r="C70" s="12">
        <v>-2.63E-2</v>
      </c>
      <c r="D70" s="21">
        <v>364.6</v>
      </c>
      <c r="E70" s="21">
        <v>376</v>
      </c>
      <c r="F70" s="21">
        <v>376.25</v>
      </c>
      <c r="G70" s="21">
        <v>360.1</v>
      </c>
      <c r="H70" s="22">
        <v>17070000</v>
      </c>
      <c r="I70" s="17"/>
      <c r="M70" s="10">
        <v>45817</v>
      </c>
      <c r="N70" s="12">
        <v>-1.9199999999999998E-2</v>
      </c>
      <c r="O70" s="28">
        <v>256.83999999999997</v>
      </c>
      <c r="P70" s="28">
        <v>261.89999999999998</v>
      </c>
      <c r="Q70" s="28">
        <v>262.98</v>
      </c>
      <c r="R70" s="28">
        <v>255.35</v>
      </c>
      <c r="S70" s="22">
        <v>33660000</v>
      </c>
      <c r="T70" s="7"/>
    </row>
    <row r="71" spans="1:20" x14ac:dyDescent="0.3">
      <c r="A71" s="8"/>
      <c r="B71" s="10">
        <v>45818</v>
      </c>
      <c r="C71" s="12">
        <v>-8.2000000000000007E-3</v>
      </c>
      <c r="D71" s="21">
        <v>361.6</v>
      </c>
      <c r="E71" s="21">
        <v>364.55</v>
      </c>
      <c r="F71" s="21">
        <v>369.5</v>
      </c>
      <c r="G71" s="21">
        <v>352.55</v>
      </c>
      <c r="H71" s="22">
        <v>17180000</v>
      </c>
      <c r="I71" s="17"/>
      <c r="M71" s="10">
        <v>45818</v>
      </c>
      <c r="N71" s="12">
        <v>-4.4999999999999997E-3</v>
      </c>
      <c r="O71" s="28">
        <v>255.68</v>
      </c>
      <c r="P71" s="28">
        <v>256.8</v>
      </c>
      <c r="Q71" s="28">
        <v>256.8</v>
      </c>
      <c r="R71" s="28">
        <v>252.35</v>
      </c>
      <c r="S71" s="22">
        <v>36660000</v>
      </c>
      <c r="T71" s="7"/>
    </row>
    <row r="72" spans="1:20" x14ac:dyDescent="0.3">
      <c r="A72" s="8"/>
      <c r="B72" s="10">
        <v>45819</v>
      </c>
      <c r="C72" s="12">
        <v>-1.5299999999999999E-2</v>
      </c>
      <c r="D72" s="21">
        <v>356.05</v>
      </c>
      <c r="E72" s="21">
        <v>360.5</v>
      </c>
      <c r="F72" s="21">
        <v>361.6</v>
      </c>
      <c r="G72" s="21">
        <v>352</v>
      </c>
      <c r="H72" s="22">
        <v>15840000</v>
      </c>
      <c r="I72" s="17"/>
      <c r="M72" s="10">
        <v>45819</v>
      </c>
      <c r="N72" s="12">
        <v>5.4000000000000003E-3</v>
      </c>
      <c r="O72" s="28">
        <v>257.07</v>
      </c>
      <c r="P72" s="28">
        <v>255.68</v>
      </c>
      <c r="Q72" s="28">
        <v>260.19</v>
      </c>
      <c r="R72" s="28">
        <v>255.3</v>
      </c>
      <c r="S72" s="22">
        <v>40550000</v>
      </c>
      <c r="T72" s="7"/>
    </row>
    <row r="73" spans="1:20" x14ac:dyDescent="0.3">
      <c r="A73" s="8"/>
      <c r="B73" s="10">
        <v>45820</v>
      </c>
      <c r="C73" s="12">
        <v>1E-4</v>
      </c>
      <c r="D73" s="21">
        <v>356.1</v>
      </c>
      <c r="E73" s="21">
        <v>357</v>
      </c>
      <c r="F73" s="21">
        <v>366</v>
      </c>
      <c r="G73" s="21">
        <v>352.85</v>
      </c>
      <c r="H73" s="22">
        <v>12380000</v>
      </c>
      <c r="I73" s="17"/>
      <c r="M73" s="10">
        <v>45820</v>
      </c>
      <c r="N73" s="12">
        <v>-2.1399999999999999E-2</v>
      </c>
      <c r="O73" s="28">
        <v>251.56</v>
      </c>
      <c r="P73" s="28">
        <v>257.07</v>
      </c>
      <c r="Q73" s="28">
        <v>257.10000000000002</v>
      </c>
      <c r="R73" s="28">
        <v>250.35</v>
      </c>
      <c r="S73" s="22">
        <v>24300000</v>
      </c>
      <c r="T73" s="7"/>
    </row>
    <row r="74" spans="1:20" x14ac:dyDescent="0.3">
      <c r="A74" s="8"/>
      <c r="B74" s="10">
        <v>45821</v>
      </c>
      <c r="C74" s="12">
        <v>-5.3E-3</v>
      </c>
      <c r="D74" s="21">
        <v>354.2</v>
      </c>
      <c r="E74" s="21">
        <v>350</v>
      </c>
      <c r="F74" s="21">
        <v>357.9</v>
      </c>
      <c r="G74" s="21">
        <v>345.75</v>
      </c>
      <c r="H74" s="22">
        <v>12530000</v>
      </c>
      <c r="I74" s="17"/>
      <c r="M74" s="10">
        <v>45821</v>
      </c>
      <c r="N74" s="12">
        <v>-9.9000000000000008E-3</v>
      </c>
      <c r="O74" s="28">
        <v>249.08</v>
      </c>
      <c r="P74" s="28">
        <v>243.26</v>
      </c>
      <c r="Q74" s="28">
        <v>250.24</v>
      </c>
      <c r="R74" s="28">
        <v>243.26</v>
      </c>
      <c r="S74" s="22">
        <v>30510000</v>
      </c>
      <c r="T74" s="7"/>
    </row>
    <row r="75" spans="1:20" x14ac:dyDescent="0.3">
      <c r="A75" s="8"/>
      <c r="B75" s="10">
        <v>45824</v>
      </c>
      <c r="C75" s="12">
        <v>1.9099999999999999E-2</v>
      </c>
      <c r="D75" s="21">
        <v>360.95</v>
      </c>
      <c r="E75" s="21">
        <v>355</v>
      </c>
      <c r="F75" s="21">
        <v>362</v>
      </c>
      <c r="G75" s="21">
        <v>352.2</v>
      </c>
      <c r="H75" s="22">
        <v>10330000</v>
      </c>
      <c r="I75" s="17"/>
      <c r="M75" s="10">
        <v>45824</v>
      </c>
      <c r="N75" s="12">
        <v>1.23E-2</v>
      </c>
      <c r="O75" s="28">
        <v>252.15</v>
      </c>
      <c r="P75" s="28">
        <v>249</v>
      </c>
      <c r="Q75" s="28">
        <v>253.52</v>
      </c>
      <c r="R75" s="28">
        <v>248.71</v>
      </c>
      <c r="S75" s="22">
        <v>26480000</v>
      </c>
      <c r="T75" s="7"/>
    </row>
    <row r="76" spans="1:20" x14ac:dyDescent="0.3">
      <c r="A76" s="8"/>
      <c r="B76" s="10">
        <v>45825</v>
      </c>
      <c r="C76" s="12">
        <v>-1.44E-2</v>
      </c>
      <c r="D76" s="21">
        <v>355.75</v>
      </c>
      <c r="E76" s="21">
        <v>361.95</v>
      </c>
      <c r="F76" s="21">
        <v>364.2</v>
      </c>
      <c r="G76" s="21">
        <v>351.9</v>
      </c>
      <c r="H76" s="22">
        <v>7080000</v>
      </c>
      <c r="I76" s="17"/>
      <c r="M76" s="10">
        <v>45825</v>
      </c>
      <c r="N76" s="12">
        <v>-1.9400000000000001E-2</v>
      </c>
      <c r="O76" s="28">
        <v>247.25</v>
      </c>
      <c r="P76" s="28">
        <v>251.3</v>
      </c>
      <c r="Q76" s="28">
        <v>252</v>
      </c>
      <c r="R76" s="28">
        <v>246.85</v>
      </c>
      <c r="S76" s="22">
        <v>20650000</v>
      </c>
      <c r="T76" s="7"/>
    </row>
    <row r="77" spans="1:20" x14ac:dyDescent="0.3">
      <c r="A77" s="8"/>
      <c r="B77" s="10">
        <v>45826</v>
      </c>
      <c r="C77" s="12">
        <v>2.7099999999999999E-2</v>
      </c>
      <c r="D77" s="21">
        <v>365.4</v>
      </c>
      <c r="E77" s="21">
        <v>357.5</v>
      </c>
      <c r="F77" s="21">
        <v>366.9</v>
      </c>
      <c r="G77" s="21">
        <v>352.65</v>
      </c>
      <c r="H77" s="22">
        <v>13210000</v>
      </c>
      <c r="I77" s="17"/>
      <c r="M77" s="10">
        <v>45826</v>
      </c>
      <c r="N77" s="12">
        <v>4.7000000000000002E-3</v>
      </c>
      <c r="O77" s="28">
        <v>248.41</v>
      </c>
      <c r="P77" s="28">
        <v>247.3</v>
      </c>
      <c r="Q77" s="28">
        <v>250.21</v>
      </c>
      <c r="R77" s="28">
        <v>247.16</v>
      </c>
      <c r="S77" s="22">
        <v>17300000</v>
      </c>
      <c r="T77" s="7"/>
    </row>
    <row r="78" spans="1:20" x14ac:dyDescent="0.3">
      <c r="A78" s="8"/>
      <c r="B78" s="10">
        <v>45827</v>
      </c>
      <c r="C78" s="12">
        <v>2.3900000000000001E-2</v>
      </c>
      <c r="D78" s="21">
        <v>374.15</v>
      </c>
      <c r="E78" s="21">
        <v>364.55</v>
      </c>
      <c r="F78" s="21">
        <v>385</v>
      </c>
      <c r="G78" s="21">
        <v>362.1</v>
      </c>
      <c r="H78" s="22">
        <v>47450000</v>
      </c>
      <c r="I78" s="17"/>
      <c r="M78" s="10">
        <v>45827</v>
      </c>
      <c r="N78" s="12">
        <v>4.1000000000000003E-3</v>
      </c>
      <c r="O78" s="28">
        <v>249.42</v>
      </c>
      <c r="P78" s="28">
        <v>247.99</v>
      </c>
      <c r="Q78" s="28">
        <v>254.8</v>
      </c>
      <c r="R78" s="28">
        <v>247.21</v>
      </c>
      <c r="S78" s="22">
        <v>32350000</v>
      </c>
      <c r="T78" s="7"/>
    </row>
    <row r="79" spans="1:20" x14ac:dyDescent="0.3">
      <c r="A79" s="8"/>
      <c r="B79" s="10">
        <v>45828</v>
      </c>
      <c r="C79" s="12">
        <v>4.1000000000000002E-2</v>
      </c>
      <c r="D79" s="21">
        <v>389.5</v>
      </c>
      <c r="E79" s="21">
        <v>376.5</v>
      </c>
      <c r="F79" s="21">
        <v>398.9</v>
      </c>
      <c r="G79" s="21">
        <v>371</v>
      </c>
      <c r="H79" s="22">
        <v>51840000</v>
      </c>
      <c r="I79" s="17"/>
      <c r="M79" s="10">
        <v>45828</v>
      </c>
      <c r="N79" s="12">
        <v>1.5699999999999999E-2</v>
      </c>
      <c r="O79" s="28">
        <v>253.33</v>
      </c>
      <c r="P79" s="28">
        <v>249.01</v>
      </c>
      <c r="Q79" s="28">
        <v>254.15</v>
      </c>
      <c r="R79" s="28">
        <v>249.01</v>
      </c>
      <c r="S79" s="22">
        <v>50200000</v>
      </c>
      <c r="T79" s="7"/>
    </row>
    <row r="80" spans="1:20" x14ac:dyDescent="0.3">
      <c r="A80" s="8"/>
      <c r="B80" s="10">
        <v>45831</v>
      </c>
      <c r="C80" s="12">
        <v>-1.2999999999999999E-3</v>
      </c>
      <c r="D80" s="21">
        <v>389</v>
      </c>
      <c r="E80" s="21">
        <v>385.85</v>
      </c>
      <c r="F80" s="21">
        <v>395.85</v>
      </c>
      <c r="G80" s="21">
        <v>378.05</v>
      </c>
      <c r="H80" s="22">
        <v>16570000</v>
      </c>
      <c r="I80" s="17"/>
      <c r="M80" s="10">
        <v>45831</v>
      </c>
      <c r="N80" s="12">
        <v>5.1999999999999998E-3</v>
      </c>
      <c r="O80" s="28">
        <v>254.64</v>
      </c>
      <c r="P80" s="28">
        <v>250.15</v>
      </c>
      <c r="Q80" s="28">
        <v>255.8</v>
      </c>
      <c r="R80" s="28">
        <v>250.05</v>
      </c>
      <c r="S80" s="22">
        <v>21520000</v>
      </c>
      <c r="T80" s="7"/>
    </row>
    <row r="81" spans="1:20" x14ac:dyDescent="0.3">
      <c r="A81" s="8"/>
      <c r="B81" s="10">
        <v>45832</v>
      </c>
      <c r="C81" s="12">
        <v>5.4999999999999997E-3</v>
      </c>
      <c r="D81" s="21">
        <v>391.15</v>
      </c>
      <c r="E81" s="21">
        <v>390.9</v>
      </c>
      <c r="F81" s="21">
        <v>399.4</v>
      </c>
      <c r="G81" s="21">
        <v>384.25</v>
      </c>
      <c r="H81" s="22">
        <v>13780000</v>
      </c>
      <c r="I81" s="17"/>
      <c r="M81" s="10">
        <v>45832</v>
      </c>
      <c r="N81" s="12">
        <v>1.6999999999999999E-3</v>
      </c>
      <c r="O81" s="28">
        <v>255.07</v>
      </c>
      <c r="P81" s="28">
        <v>257</v>
      </c>
      <c r="Q81" s="28">
        <v>260</v>
      </c>
      <c r="R81" s="28">
        <v>254.22</v>
      </c>
      <c r="S81" s="22">
        <v>35640000</v>
      </c>
      <c r="T81" s="7"/>
    </row>
    <row r="82" spans="1:20" x14ac:dyDescent="0.3">
      <c r="A82" s="8"/>
      <c r="B82" s="10">
        <v>45833</v>
      </c>
      <c r="C82" s="12">
        <v>2.2499999999999999E-2</v>
      </c>
      <c r="D82" s="21">
        <v>399.95</v>
      </c>
      <c r="E82" s="21">
        <v>393.15</v>
      </c>
      <c r="F82" s="21">
        <v>402.5</v>
      </c>
      <c r="G82" s="21">
        <v>389.3</v>
      </c>
      <c r="H82" s="22">
        <v>17310000</v>
      </c>
      <c r="I82" s="17"/>
      <c r="M82" s="10">
        <v>45833</v>
      </c>
      <c r="N82" s="12">
        <v>1.49E-2</v>
      </c>
      <c r="O82" s="28">
        <v>258.86</v>
      </c>
      <c r="P82" s="28">
        <v>256.11</v>
      </c>
      <c r="Q82" s="28">
        <v>259.42</v>
      </c>
      <c r="R82" s="28">
        <v>255.1</v>
      </c>
      <c r="S82" s="22">
        <v>26410000</v>
      </c>
      <c r="T82" s="7"/>
    </row>
    <row r="83" spans="1:20" x14ac:dyDescent="0.3">
      <c r="A83" s="8"/>
      <c r="B83" s="10">
        <v>45834</v>
      </c>
      <c r="C83" s="12">
        <v>1.3299999999999999E-2</v>
      </c>
      <c r="D83" s="21">
        <v>405.25</v>
      </c>
      <c r="E83" s="21">
        <v>399.5</v>
      </c>
      <c r="F83" s="21">
        <v>412</v>
      </c>
      <c r="G83" s="21">
        <v>398.4</v>
      </c>
      <c r="H83" s="22">
        <v>17360000</v>
      </c>
      <c r="I83" s="17"/>
      <c r="M83" s="10">
        <v>45834</v>
      </c>
      <c r="N83" s="12">
        <v>2.4400000000000002E-2</v>
      </c>
      <c r="O83" s="28">
        <v>265.18</v>
      </c>
      <c r="P83" s="28">
        <v>259.42</v>
      </c>
      <c r="Q83" s="28">
        <v>266.25</v>
      </c>
      <c r="R83" s="28">
        <v>258.95</v>
      </c>
      <c r="S83" s="22">
        <v>47100000</v>
      </c>
      <c r="T83" s="7"/>
    </row>
    <row r="84" spans="1:20" x14ac:dyDescent="0.3">
      <c r="A84" s="8"/>
      <c r="B84" s="10">
        <v>45835</v>
      </c>
      <c r="C84" s="12">
        <v>4.1999999999999997E-3</v>
      </c>
      <c r="D84" s="21">
        <v>406.95</v>
      </c>
      <c r="E84" s="21">
        <v>408.5</v>
      </c>
      <c r="F84" s="21">
        <v>410</v>
      </c>
      <c r="G84" s="21">
        <v>395.2</v>
      </c>
      <c r="H84" s="22">
        <v>17770000</v>
      </c>
      <c r="I84" s="17"/>
      <c r="M84" s="10">
        <v>45835</v>
      </c>
      <c r="N84" s="12">
        <v>-1.2500000000000001E-2</v>
      </c>
      <c r="O84" s="28">
        <v>261.86</v>
      </c>
      <c r="P84" s="28">
        <v>266.49</v>
      </c>
      <c r="Q84" s="28">
        <v>266.49</v>
      </c>
      <c r="R84" s="28">
        <v>261</v>
      </c>
      <c r="S84" s="22">
        <v>61550000</v>
      </c>
      <c r="T84" s="7"/>
    </row>
    <row r="85" spans="1:20" x14ac:dyDescent="0.3">
      <c r="A85" s="8"/>
      <c r="B85" s="10">
        <v>45838</v>
      </c>
      <c r="C85" s="12">
        <v>-1.61E-2</v>
      </c>
      <c r="D85" s="21">
        <v>400.4</v>
      </c>
      <c r="E85" s="21">
        <v>405.5</v>
      </c>
      <c r="F85" s="21">
        <v>406.95</v>
      </c>
      <c r="G85" s="21">
        <v>398.65</v>
      </c>
      <c r="H85" s="22">
        <v>8510000</v>
      </c>
      <c r="I85" s="17"/>
      <c r="M85" s="10">
        <v>45838</v>
      </c>
      <c r="N85" s="12">
        <v>8.6999999999999994E-3</v>
      </c>
      <c r="O85" s="28">
        <v>264.14999999999998</v>
      </c>
      <c r="P85" s="28">
        <v>262</v>
      </c>
      <c r="Q85" s="28">
        <v>265.19</v>
      </c>
      <c r="R85" s="28">
        <v>262</v>
      </c>
      <c r="S85" s="22">
        <v>21590000</v>
      </c>
      <c r="T85" s="7"/>
    </row>
    <row r="86" spans="1:20" x14ac:dyDescent="0.3">
      <c r="A86" s="8"/>
      <c r="B86" s="10">
        <v>45839</v>
      </c>
      <c r="C86" s="12">
        <v>-1.7399999999999999E-2</v>
      </c>
      <c r="D86" s="21">
        <v>393.45</v>
      </c>
      <c r="E86" s="21">
        <v>400.5</v>
      </c>
      <c r="F86" s="21">
        <v>402.1</v>
      </c>
      <c r="G86" s="21">
        <v>391.55</v>
      </c>
      <c r="H86" s="22">
        <v>8750000</v>
      </c>
      <c r="I86" s="17"/>
      <c r="M86" s="10">
        <v>45839</v>
      </c>
      <c r="N86" s="12">
        <v>-1.1900000000000001E-2</v>
      </c>
      <c r="O86" s="28">
        <v>261</v>
      </c>
      <c r="P86" s="28">
        <v>264.75</v>
      </c>
      <c r="Q86" s="28">
        <v>264.85000000000002</v>
      </c>
      <c r="R86" s="28">
        <v>259.60000000000002</v>
      </c>
      <c r="S86" s="22">
        <v>17220000</v>
      </c>
      <c r="T86" s="7"/>
    </row>
    <row r="87" spans="1:20" x14ac:dyDescent="0.3">
      <c r="A87" s="8"/>
      <c r="B87" s="10">
        <v>45840</v>
      </c>
      <c r="C87" s="12">
        <v>-3.0200000000000001E-2</v>
      </c>
      <c r="D87" s="21">
        <v>381.55</v>
      </c>
      <c r="E87" s="21">
        <v>394</v>
      </c>
      <c r="F87" s="21">
        <v>395</v>
      </c>
      <c r="G87" s="21">
        <v>380</v>
      </c>
      <c r="H87" s="22">
        <v>12610000</v>
      </c>
      <c r="I87" s="17"/>
      <c r="M87" s="10">
        <v>45840</v>
      </c>
      <c r="N87" s="12">
        <v>-4.7999999999999996E-3</v>
      </c>
      <c r="O87" s="28">
        <v>259.75</v>
      </c>
      <c r="P87" s="28">
        <v>260.5</v>
      </c>
      <c r="Q87" s="28">
        <v>261.85000000000002</v>
      </c>
      <c r="R87" s="28">
        <v>257.60000000000002</v>
      </c>
      <c r="S87" s="22">
        <v>14940000</v>
      </c>
      <c r="T87" s="7"/>
    </row>
    <row r="88" spans="1:20" x14ac:dyDescent="0.3">
      <c r="A88" s="8"/>
      <c r="B88" s="10">
        <v>45841</v>
      </c>
      <c r="C88" s="12">
        <v>1.17E-2</v>
      </c>
      <c r="D88" s="21">
        <v>386</v>
      </c>
      <c r="E88" s="21">
        <v>383.25</v>
      </c>
      <c r="F88" s="21">
        <v>388.35</v>
      </c>
      <c r="G88" s="21">
        <v>380.6</v>
      </c>
      <c r="H88" s="22">
        <v>6840000</v>
      </c>
      <c r="I88" s="17"/>
      <c r="M88" s="10">
        <v>45841</v>
      </c>
      <c r="N88" s="12">
        <v>4.1999999999999997E-3</v>
      </c>
      <c r="O88" s="28">
        <v>260.85000000000002</v>
      </c>
      <c r="P88" s="28">
        <v>260.10000000000002</v>
      </c>
      <c r="Q88" s="28">
        <v>264.3</v>
      </c>
      <c r="R88" s="28">
        <v>260</v>
      </c>
      <c r="S88" s="22">
        <v>19400000</v>
      </c>
      <c r="T88" s="7"/>
    </row>
    <row r="89" spans="1:20" x14ac:dyDescent="0.3">
      <c r="A89" s="8"/>
      <c r="B89" s="10">
        <v>45842</v>
      </c>
      <c r="C89" s="12">
        <v>-6.4999999999999997E-3</v>
      </c>
      <c r="D89" s="21">
        <v>383.5</v>
      </c>
      <c r="E89" s="21">
        <v>388</v>
      </c>
      <c r="F89" s="21">
        <v>395</v>
      </c>
      <c r="G89" s="21">
        <v>381.55</v>
      </c>
      <c r="H89" s="22">
        <v>8470000</v>
      </c>
      <c r="I89" s="17"/>
      <c r="M89" s="10">
        <v>45842</v>
      </c>
      <c r="N89" s="12">
        <v>2.0999999999999999E-3</v>
      </c>
      <c r="O89" s="28">
        <v>261.39999999999998</v>
      </c>
      <c r="P89" s="28">
        <v>262.10000000000002</v>
      </c>
      <c r="Q89" s="28">
        <v>263.7</v>
      </c>
      <c r="R89" s="28">
        <v>259.64999999999998</v>
      </c>
      <c r="S89" s="22">
        <v>13080000</v>
      </c>
      <c r="T89" s="7"/>
    </row>
    <row r="90" spans="1:20" x14ac:dyDescent="0.3">
      <c r="A90" s="8"/>
      <c r="B90" s="10">
        <v>45845</v>
      </c>
      <c r="C90" s="12">
        <v>-1.7899999999999999E-2</v>
      </c>
      <c r="D90" s="21">
        <v>376.65</v>
      </c>
      <c r="E90" s="21">
        <v>386</v>
      </c>
      <c r="F90" s="21">
        <v>387.5</v>
      </c>
      <c r="G90" s="21">
        <v>375.05</v>
      </c>
      <c r="H90" s="22">
        <v>6440000</v>
      </c>
      <c r="I90" s="17"/>
      <c r="M90" s="10">
        <v>45845</v>
      </c>
      <c r="N90" s="12">
        <v>-1.09E-2</v>
      </c>
      <c r="O90" s="28">
        <v>258.55</v>
      </c>
      <c r="P90" s="28">
        <v>261.39999999999998</v>
      </c>
      <c r="Q90" s="28">
        <v>261.55</v>
      </c>
      <c r="R90" s="28">
        <v>256.2</v>
      </c>
      <c r="S90" s="22">
        <v>25450000</v>
      </c>
      <c r="T90" s="7"/>
    </row>
    <row r="91" spans="1:20" x14ac:dyDescent="0.3">
      <c r="A91" s="8"/>
      <c r="B91" s="10">
        <v>45846</v>
      </c>
      <c r="C91" s="12">
        <v>1.2699999999999999E-2</v>
      </c>
      <c r="D91" s="21">
        <v>381.45</v>
      </c>
      <c r="E91" s="21">
        <v>378.15</v>
      </c>
      <c r="F91" s="21">
        <v>383</v>
      </c>
      <c r="G91" s="21">
        <v>376.15</v>
      </c>
      <c r="H91" s="22">
        <v>7150000</v>
      </c>
      <c r="I91" s="17"/>
      <c r="M91" s="10">
        <v>45846</v>
      </c>
      <c r="N91" s="12">
        <v>1.9099999999999999E-2</v>
      </c>
      <c r="O91" s="28">
        <v>263.5</v>
      </c>
      <c r="P91" s="28">
        <v>259.64999999999998</v>
      </c>
      <c r="Q91" s="28">
        <v>264.2</v>
      </c>
      <c r="R91" s="28">
        <v>259.5</v>
      </c>
      <c r="S91" s="22">
        <v>18310000</v>
      </c>
      <c r="T91" s="7"/>
    </row>
    <row r="92" spans="1:20" x14ac:dyDescent="0.3">
      <c r="A92" s="8"/>
      <c r="B92" s="10">
        <v>45847</v>
      </c>
      <c r="C92" s="12">
        <v>-3.3999999999999998E-3</v>
      </c>
      <c r="D92" s="21">
        <v>380.15</v>
      </c>
      <c r="E92" s="21">
        <v>381.5</v>
      </c>
      <c r="F92" s="21">
        <v>382.95</v>
      </c>
      <c r="G92" s="21">
        <v>374.55</v>
      </c>
      <c r="H92" s="22">
        <v>7660000</v>
      </c>
      <c r="I92" s="17"/>
      <c r="M92" s="10">
        <v>45847</v>
      </c>
      <c r="N92" s="12">
        <v>4.0000000000000001E-3</v>
      </c>
      <c r="O92" s="28">
        <v>264.55</v>
      </c>
      <c r="P92" s="28">
        <v>263.64999999999998</v>
      </c>
      <c r="Q92" s="28">
        <v>265.45</v>
      </c>
      <c r="R92" s="28">
        <v>261.8</v>
      </c>
      <c r="S92" s="22">
        <v>18480000</v>
      </c>
      <c r="T92" s="7"/>
    </row>
    <row r="93" spans="1:20" x14ac:dyDescent="0.3">
      <c r="A93" s="8"/>
      <c r="B93" s="10">
        <v>45848</v>
      </c>
      <c r="C93" s="12">
        <v>1.0999999999999999E-2</v>
      </c>
      <c r="D93" s="21">
        <v>384.35</v>
      </c>
      <c r="E93" s="21">
        <v>380</v>
      </c>
      <c r="F93" s="21">
        <v>390.4</v>
      </c>
      <c r="G93" s="21">
        <v>377.6</v>
      </c>
      <c r="H93" s="22">
        <v>9000000</v>
      </c>
      <c r="I93" s="17"/>
      <c r="M93" s="10">
        <v>45848</v>
      </c>
      <c r="N93" s="12">
        <v>-6.4000000000000003E-3</v>
      </c>
      <c r="O93" s="28">
        <v>262.85000000000002</v>
      </c>
      <c r="P93" s="28">
        <v>265.10000000000002</v>
      </c>
      <c r="Q93" s="28">
        <v>267.25</v>
      </c>
      <c r="R93" s="28">
        <v>262.25</v>
      </c>
      <c r="S93" s="22">
        <v>17140000</v>
      </c>
      <c r="T93" s="7"/>
    </row>
    <row r="94" spans="1:20" x14ac:dyDescent="0.3">
      <c r="A94" s="8"/>
      <c r="B94" s="10">
        <v>45849</v>
      </c>
      <c r="C94" s="12">
        <v>2E-3</v>
      </c>
      <c r="D94" s="21">
        <v>385.1</v>
      </c>
      <c r="E94" s="21">
        <v>383.85</v>
      </c>
      <c r="F94" s="21">
        <v>389</v>
      </c>
      <c r="G94" s="21">
        <v>377.85</v>
      </c>
      <c r="H94" s="22">
        <v>11100000</v>
      </c>
      <c r="I94" s="17"/>
      <c r="M94" s="10">
        <v>45849</v>
      </c>
      <c r="N94" s="12">
        <v>1.9E-3</v>
      </c>
      <c r="O94" s="28">
        <v>263.35000000000002</v>
      </c>
      <c r="P94" s="28">
        <v>260</v>
      </c>
      <c r="Q94" s="28">
        <v>264.95</v>
      </c>
      <c r="R94" s="28">
        <v>260</v>
      </c>
      <c r="S94" s="22">
        <v>16530000.000000002</v>
      </c>
      <c r="T94" s="7"/>
    </row>
    <row r="95" spans="1:20" x14ac:dyDescent="0.3">
      <c r="A95" s="8"/>
      <c r="B95" s="10">
        <v>45852</v>
      </c>
      <c r="C95" s="12">
        <v>2.06E-2</v>
      </c>
      <c r="D95" s="21">
        <v>393.05</v>
      </c>
      <c r="E95" s="21">
        <v>384.5</v>
      </c>
      <c r="F95" s="21">
        <v>394.7</v>
      </c>
      <c r="G95" s="21">
        <v>380.4</v>
      </c>
      <c r="H95" s="22">
        <v>12700000</v>
      </c>
      <c r="I95" s="17"/>
      <c r="M95" s="10">
        <v>45852</v>
      </c>
      <c r="N95" s="12">
        <v>2.75E-2</v>
      </c>
      <c r="O95" s="28">
        <v>270.60000000000002</v>
      </c>
      <c r="P95" s="28">
        <v>264.95</v>
      </c>
      <c r="Q95" s="28">
        <v>277.75</v>
      </c>
      <c r="R95" s="28">
        <v>262.3</v>
      </c>
      <c r="S95" s="22">
        <v>50180000</v>
      </c>
      <c r="T95" s="7"/>
    </row>
    <row r="96" spans="1:20" x14ac:dyDescent="0.3">
      <c r="A96" s="8"/>
      <c r="B96" s="10">
        <v>45853</v>
      </c>
      <c r="C96" s="12">
        <v>-1.17E-2</v>
      </c>
      <c r="D96" s="21">
        <v>388.45</v>
      </c>
      <c r="E96" s="21">
        <v>393</v>
      </c>
      <c r="F96" s="21">
        <v>399.2</v>
      </c>
      <c r="G96" s="21">
        <v>383.3</v>
      </c>
      <c r="H96" s="22">
        <v>12330000</v>
      </c>
      <c r="I96" s="17"/>
      <c r="M96" s="10">
        <v>45853</v>
      </c>
      <c r="N96" s="12">
        <v>-1.5299999999999999E-2</v>
      </c>
      <c r="O96" s="28">
        <v>266.45</v>
      </c>
      <c r="P96" s="28">
        <v>271.89999999999998</v>
      </c>
      <c r="Q96" s="28">
        <v>272.39999999999998</v>
      </c>
      <c r="R96" s="28">
        <v>265.14999999999998</v>
      </c>
      <c r="S96" s="22">
        <v>35090000</v>
      </c>
      <c r="T96" s="7"/>
    </row>
    <row r="97" spans="1:20" x14ac:dyDescent="0.3">
      <c r="A97" s="8"/>
      <c r="B97" s="10">
        <v>45854</v>
      </c>
      <c r="C97" s="12">
        <v>3.5999999999999999E-3</v>
      </c>
      <c r="D97" s="21">
        <v>389.85</v>
      </c>
      <c r="E97" s="21">
        <v>390</v>
      </c>
      <c r="F97" s="21">
        <v>400</v>
      </c>
      <c r="G97" s="21">
        <v>386.75</v>
      </c>
      <c r="H97" s="22">
        <v>16830000</v>
      </c>
      <c r="I97" s="17"/>
      <c r="M97" s="10">
        <v>45854</v>
      </c>
      <c r="N97" s="12">
        <v>-1.54E-2</v>
      </c>
      <c r="O97" s="28">
        <v>262.35000000000002</v>
      </c>
      <c r="P97" s="28">
        <v>263.14999999999998</v>
      </c>
      <c r="Q97" s="28">
        <v>266.95</v>
      </c>
      <c r="R97" s="28">
        <v>261.25</v>
      </c>
      <c r="S97" s="22">
        <v>17830000</v>
      </c>
      <c r="T97" s="7"/>
    </row>
    <row r="98" spans="1:20" x14ac:dyDescent="0.3">
      <c r="A98" s="8"/>
      <c r="B98" s="10">
        <v>45855</v>
      </c>
      <c r="C98" s="12">
        <v>-1.0800000000000001E-2</v>
      </c>
      <c r="D98" s="21">
        <v>385.65</v>
      </c>
      <c r="E98" s="21">
        <v>391.75</v>
      </c>
      <c r="F98" s="21">
        <v>393.2</v>
      </c>
      <c r="G98" s="21">
        <v>383.9</v>
      </c>
      <c r="H98" s="22">
        <v>5600000</v>
      </c>
      <c r="I98" s="17"/>
      <c r="M98" s="10">
        <v>45855</v>
      </c>
      <c r="N98" s="12">
        <v>-1.03E-2</v>
      </c>
      <c r="O98" s="28">
        <v>259.64999999999998</v>
      </c>
      <c r="P98" s="28">
        <v>263</v>
      </c>
      <c r="Q98" s="28">
        <v>263.7</v>
      </c>
      <c r="R98" s="28">
        <v>258.60000000000002</v>
      </c>
      <c r="S98" s="22">
        <v>17540000</v>
      </c>
      <c r="T98" s="7"/>
    </row>
    <row r="99" spans="1:20" x14ac:dyDescent="0.3">
      <c r="A99" s="8"/>
      <c r="B99" s="10">
        <v>45856</v>
      </c>
      <c r="C99" s="12">
        <v>8.2000000000000007E-3</v>
      </c>
      <c r="D99" s="21">
        <v>388.8</v>
      </c>
      <c r="E99" s="21">
        <v>387</v>
      </c>
      <c r="F99" s="21">
        <v>393</v>
      </c>
      <c r="G99" s="21">
        <v>386.05</v>
      </c>
      <c r="H99" s="22">
        <v>4840000</v>
      </c>
      <c r="I99" s="17"/>
      <c r="M99" s="10">
        <v>45856</v>
      </c>
      <c r="N99" s="12">
        <v>-9.4000000000000004E-3</v>
      </c>
      <c r="O99" s="28">
        <v>257.2</v>
      </c>
      <c r="P99" s="28">
        <v>259.95</v>
      </c>
      <c r="Q99" s="28">
        <v>260.2</v>
      </c>
      <c r="R99" s="28">
        <v>256.75</v>
      </c>
      <c r="S99" s="22">
        <v>13580000</v>
      </c>
      <c r="T99" s="7"/>
    </row>
    <row r="100" spans="1:20" x14ac:dyDescent="0.3">
      <c r="A100" s="8"/>
      <c r="B100" s="10">
        <v>45859</v>
      </c>
      <c r="C100" s="12">
        <v>1.5299999999999999E-2</v>
      </c>
      <c r="D100" s="21">
        <v>394.75</v>
      </c>
      <c r="E100" s="21">
        <v>388.8</v>
      </c>
      <c r="F100" s="21">
        <v>400.8</v>
      </c>
      <c r="G100" s="21">
        <v>380.1</v>
      </c>
      <c r="H100" s="22">
        <v>17680000</v>
      </c>
      <c r="I100" s="17"/>
      <c r="M100" s="10">
        <v>45859</v>
      </c>
      <c r="N100" s="12">
        <v>5.6399999999999999E-2</v>
      </c>
      <c r="O100" s="28">
        <v>271.7</v>
      </c>
      <c r="P100" s="28">
        <v>257</v>
      </c>
      <c r="Q100" s="28">
        <v>277</v>
      </c>
      <c r="R100" s="28">
        <v>256.64999999999998</v>
      </c>
      <c r="S100" s="22">
        <v>67510000</v>
      </c>
      <c r="T100" s="7"/>
    </row>
    <row r="101" spans="1:20" x14ac:dyDescent="0.3">
      <c r="A101" s="8"/>
      <c r="B101" s="10">
        <v>45860</v>
      </c>
      <c r="C101" s="12">
        <v>5.67E-2</v>
      </c>
      <c r="D101" s="21">
        <v>417.15</v>
      </c>
      <c r="E101" s="21">
        <v>405</v>
      </c>
      <c r="F101" s="21">
        <v>426.3</v>
      </c>
      <c r="G101" s="21">
        <v>403.75</v>
      </c>
      <c r="H101" s="22">
        <v>82270000</v>
      </c>
      <c r="I101" s="17"/>
      <c r="M101" s="10">
        <v>45860</v>
      </c>
      <c r="N101" s="12">
        <v>0.10340000000000001</v>
      </c>
      <c r="O101" s="28">
        <v>299.8</v>
      </c>
      <c r="P101" s="28">
        <v>293</v>
      </c>
      <c r="Q101" s="28">
        <v>311.25</v>
      </c>
      <c r="R101" s="28">
        <v>289.64999999999998</v>
      </c>
      <c r="S101" s="22">
        <v>269330000</v>
      </c>
      <c r="T101" s="7"/>
    </row>
    <row r="102" spans="1:20" x14ac:dyDescent="0.3">
      <c r="A102" s="8"/>
      <c r="B102" s="10">
        <v>45861</v>
      </c>
      <c r="C102" s="12">
        <v>3.7000000000000002E-3</v>
      </c>
      <c r="D102" s="21">
        <v>418.7</v>
      </c>
      <c r="E102" s="21">
        <v>418</v>
      </c>
      <c r="F102" s="21">
        <v>421</v>
      </c>
      <c r="G102" s="21">
        <v>412.6</v>
      </c>
      <c r="H102" s="22">
        <v>17010000</v>
      </c>
      <c r="I102" s="17"/>
      <c r="M102" s="10">
        <v>45861</v>
      </c>
      <c r="N102" s="12">
        <v>7.4999999999999997E-3</v>
      </c>
      <c r="O102" s="28">
        <v>302.05</v>
      </c>
      <c r="P102" s="28">
        <v>298</v>
      </c>
      <c r="Q102" s="28">
        <v>303.55</v>
      </c>
      <c r="R102" s="28">
        <v>296.3</v>
      </c>
      <c r="S102" s="22">
        <v>68920000</v>
      </c>
      <c r="T102" s="7"/>
    </row>
    <row r="103" spans="1:20" x14ac:dyDescent="0.3">
      <c r="A103" s="8"/>
      <c r="B103" s="10">
        <v>45862</v>
      </c>
      <c r="C103" s="12">
        <v>1.2999999999999999E-3</v>
      </c>
      <c r="D103" s="21">
        <v>419.25</v>
      </c>
      <c r="E103" s="21">
        <v>418</v>
      </c>
      <c r="F103" s="21">
        <v>429.9</v>
      </c>
      <c r="G103" s="21">
        <v>405.7</v>
      </c>
      <c r="H103" s="22">
        <v>21760000</v>
      </c>
      <c r="I103" s="17"/>
      <c r="M103" s="10">
        <v>45862</v>
      </c>
      <c r="N103" s="12">
        <v>3.6700000000000003E-2</v>
      </c>
      <c r="O103" s="28">
        <v>313.14999999999998</v>
      </c>
      <c r="P103" s="28">
        <v>302.25</v>
      </c>
      <c r="Q103" s="28">
        <v>314.45</v>
      </c>
      <c r="R103" s="28">
        <v>302</v>
      </c>
      <c r="S103" s="22">
        <v>120600000</v>
      </c>
      <c r="T103" s="7"/>
    </row>
    <row r="104" spans="1:20" x14ac:dyDescent="0.3">
      <c r="A104" s="8"/>
      <c r="B104" s="10">
        <v>45863</v>
      </c>
      <c r="C104" s="12">
        <v>-2.7E-2</v>
      </c>
      <c r="D104" s="21">
        <v>407.95</v>
      </c>
      <c r="E104" s="21">
        <v>418.55</v>
      </c>
      <c r="F104" s="21">
        <v>418.55</v>
      </c>
      <c r="G104" s="21">
        <v>406</v>
      </c>
      <c r="H104" s="22">
        <v>7750000</v>
      </c>
      <c r="I104" s="17"/>
      <c r="M104" s="10">
        <v>45863</v>
      </c>
      <c r="N104" s="12">
        <v>-8.3000000000000001E-3</v>
      </c>
      <c r="O104" s="28">
        <v>310.55</v>
      </c>
      <c r="P104" s="28">
        <v>309.95</v>
      </c>
      <c r="Q104" s="28">
        <v>314.14999999999998</v>
      </c>
      <c r="R104" s="28">
        <v>306.3</v>
      </c>
      <c r="S104" s="22">
        <v>50940000</v>
      </c>
      <c r="T104" s="7"/>
    </row>
    <row r="105" spans="1:20" x14ac:dyDescent="0.3">
      <c r="A105" s="8"/>
      <c r="B105" s="10">
        <v>45866</v>
      </c>
      <c r="C105" s="12">
        <v>-2.0999999999999999E-3</v>
      </c>
      <c r="D105" s="21">
        <v>407.1</v>
      </c>
      <c r="E105" s="21">
        <v>405.9</v>
      </c>
      <c r="F105" s="21">
        <v>416.2</v>
      </c>
      <c r="G105" s="21">
        <v>401.35</v>
      </c>
      <c r="H105" s="22">
        <v>9520000</v>
      </c>
      <c r="I105" s="17"/>
      <c r="M105" s="10">
        <v>45866</v>
      </c>
      <c r="N105" s="12">
        <v>-1.0500000000000001E-2</v>
      </c>
      <c r="O105" s="28">
        <v>307.3</v>
      </c>
      <c r="P105" s="28">
        <v>310</v>
      </c>
      <c r="Q105" s="28">
        <v>312.25</v>
      </c>
      <c r="R105" s="28">
        <v>306.60000000000002</v>
      </c>
      <c r="S105" s="22">
        <v>24880000</v>
      </c>
      <c r="T105" s="7"/>
    </row>
    <row r="106" spans="1:20" x14ac:dyDescent="0.3">
      <c r="A106" s="8"/>
      <c r="B106" s="10">
        <v>45867</v>
      </c>
      <c r="C106" s="12">
        <v>1.6500000000000001E-2</v>
      </c>
      <c r="D106" s="21">
        <v>413.8</v>
      </c>
      <c r="E106" s="21">
        <v>408.1</v>
      </c>
      <c r="F106" s="21">
        <v>415.7</v>
      </c>
      <c r="G106" s="21">
        <v>402.3</v>
      </c>
      <c r="H106" s="22">
        <v>5830000</v>
      </c>
      <c r="I106" s="17"/>
      <c r="M106" s="10">
        <v>45867</v>
      </c>
      <c r="N106" s="12">
        <v>-2.3999999999999998E-3</v>
      </c>
      <c r="O106" s="28">
        <v>306.55</v>
      </c>
      <c r="P106" s="28">
        <v>305</v>
      </c>
      <c r="Q106" s="28">
        <v>307.2</v>
      </c>
      <c r="R106" s="28">
        <v>300</v>
      </c>
      <c r="S106" s="22">
        <v>23520000</v>
      </c>
      <c r="T106" s="7"/>
    </row>
    <row r="107" spans="1:20" x14ac:dyDescent="0.3">
      <c r="A107" s="8"/>
      <c r="B107" s="10">
        <v>45868</v>
      </c>
      <c r="C107" s="12">
        <v>-3.0700000000000002E-2</v>
      </c>
      <c r="D107" s="21">
        <v>401.1</v>
      </c>
      <c r="E107" s="21">
        <v>413.8</v>
      </c>
      <c r="F107" s="21">
        <v>414</v>
      </c>
      <c r="G107" s="21">
        <v>399</v>
      </c>
      <c r="H107" s="22">
        <v>10410000</v>
      </c>
      <c r="I107" s="17"/>
      <c r="M107" s="10">
        <v>45868</v>
      </c>
      <c r="N107" s="12">
        <v>-1.01E-2</v>
      </c>
      <c r="O107" s="28">
        <v>303.45</v>
      </c>
      <c r="P107" s="28">
        <v>306.55</v>
      </c>
      <c r="Q107" s="28">
        <v>308.14999999999998</v>
      </c>
      <c r="R107" s="28">
        <v>301.8</v>
      </c>
      <c r="S107" s="22">
        <v>21680000</v>
      </c>
      <c r="T107" s="7"/>
    </row>
    <row r="108" spans="1:20" x14ac:dyDescent="0.3">
      <c r="A108" s="8"/>
      <c r="B108" s="10">
        <v>45869</v>
      </c>
      <c r="C108" s="12">
        <v>6.6E-3</v>
      </c>
      <c r="D108" s="21">
        <v>403.75</v>
      </c>
      <c r="E108" s="21">
        <v>400</v>
      </c>
      <c r="F108" s="21">
        <v>407</v>
      </c>
      <c r="G108" s="21">
        <v>397.7</v>
      </c>
      <c r="H108" s="22">
        <v>8480000</v>
      </c>
      <c r="I108" s="17"/>
      <c r="M108" s="10">
        <v>45869</v>
      </c>
      <c r="N108" s="12">
        <v>1.43E-2</v>
      </c>
      <c r="O108" s="28">
        <v>307.8</v>
      </c>
      <c r="P108" s="28">
        <v>300</v>
      </c>
      <c r="Q108" s="28">
        <v>311.14999999999998</v>
      </c>
      <c r="R108" s="28">
        <v>299.3</v>
      </c>
      <c r="S108" s="22">
        <v>32470000</v>
      </c>
      <c r="T108" s="7"/>
    </row>
    <row r="109" spans="1:20" x14ac:dyDescent="0.3">
      <c r="A109" s="8"/>
      <c r="B109" s="10">
        <v>45870</v>
      </c>
      <c r="C109" s="12">
        <v>-2.8199999999999999E-2</v>
      </c>
      <c r="D109" s="21">
        <v>392.35</v>
      </c>
      <c r="E109" s="21">
        <v>408</v>
      </c>
      <c r="F109" s="21">
        <v>408.5</v>
      </c>
      <c r="G109" s="21">
        <v>386.4</v>
      </c>
      <c r="H109" s="22">
        <v>22580000</v>
      </c>
      <c r="I109" s="17"/>
      <c r="M109" s="10">
        <v>45870</v>
      </c>
      <c r="N109" s="12">
        <v>-9.9000000000000008E-3</v>
      </c>
      <c r="O109" s="28">
        <v>304.75</v>
      </c>
      <c r="P109" s="28">
        <v>309.8</v>
      </c>
      <c r="Q109" s="28">
        <v>310.45</v>
      </c>
      <c r="R109" s="28">
        <v>303.95</v>
      </c>
      <c r="S109" s="22">
        <v>16420000.000000002</v>
      </c>
      <c r="T109" s="7"/>
    </row>
    <row r="110" spans="1:20" x14ac:dyDescent="0.3">
      <c r="A110" s="8"/>
      <c r="B110" s="10">
        <v>45873</v>
      </c>
      <c r="C110" s="12">
        <v>1.7500000000000002E-2</v>
      </c>
      <c r="D110" s="21">
        <v>399.2</v>
      </c>
      <c r="E110" s="21">
        <v>392.5</v>
      </c>
      <c r="F110" s="21">
        <v>403.15</v>
      </c>
      <c r="G110" s="21">
        <v>381.75</v>
      </c>
      <c r="H110" s="22">
        <v>14950000</v>
      </c>
      <c r="I110" s="17"/>
      <c r="M110" s="10">
        <v>45873</v>
      </c>
      <c r="N110" s="12">
        <v>1.6000000000000001E-3</v>
      </c>
      <c r="O110" s="28">
        <v>305.25</v>
      </c>
      <c r="P110" s="28">
        <v>303</v>
      </c>
      <c r="Q110" s="28">
        <v>307</v>
      </c>
      <c r="R110" s="28">
        <v>300.45</v>
      </c>
      <c r="S110" s="22">
        <v>21860000</v>
      </c>
      <c r="T110" s="7"/>
    </row>
    <row r="111" spans="1:20" x14ac:dyDescent="0.3">
      <c r="A111" s="8"/>
      <c r="B111" s="10">
        <v>45874</v>
      </c>
      <c r="C111" s="12">
        <v>-3.4200000000000001E-2</v>
      </c>
      <c r="D111" s="21">
        <v>385.55</v>
      </c>
      <c r="E111" s="21">
        <v>397.2</v>
      </c>
      <c r="F111" s="21">
        <v>398.9</v>
      </c>
      <c r="G111" s="21">
        <v>383</v>
      </c>
      <c r="H111" s="22">
        <v>11100000</v>
      </c>
      <c r="I111" s="17"/>
      <c r="M111" s="10">
        <v>45874</v>
      </c>
      <c r="N111" s="12">
        <v>-1.0200000000000001E-2</v>
      </c>
      <c r="O111" s="28">
        <v>302.14999999999998</v>
      </c>
      <c r="P111" s="28">
        <v>306.89999999999998</v>
      </c>
      <c r="Q111" s="28">
        <v>307.60000000000002</v>
      </c>
      <c r="R111" s="28">
        <v>301.7</v>
      </c>
      <c r="S111" s="22">
        <v>14820000</v>
      </c>
      <c r="T111" s="7"/>
    </row>
    <row r="112" spans="1:20" x14ac:dyDescent="0.3">
      <c r="A112" s="8"/>
      <c r="B112" s="10">
        <v>45875</v>
      </c>
      <c r="C112" s="12">
        <v>2.18E-2</v>
      </c>
      <c r="D112" s="21">
        <v>393.95</v>
      </c>
      <c r="E112" s="21">
        <v>386.9</v>
      </c>
      <c r="F112" s="21">
        <v>399</v>
      </c>
      <c r="G112" s="21">
        <v>385.55</v>
      </c>
      <c r="H112" s="22">
        <v>16550000</v>
      </c>
      <c r="I112" s="17"/>
      <c r="M112" s="10">
        <v>45875</v>
      </c>
      <c r="N112" s="12">
        <v>-1.09E-2</v>
      </c>
      <c r="O112" s="28">
        <v>298.85000000000002</v>
      </c>
      <c r="P112" s="28">
        <v>302</v>
      </c>
      <c r="Q112" s="28">
        <v>302.5</v>
      </c>
      <c r="R112" s="28">
        <v>295.45</v>
      </c>
      <c r="S112" s="22">
        <v>22010000</v>
      </c>
      <c r="T112" s="7"/>
    </row>
    <row r="113" spans="1:20" x14ac:dyDescent="0.3">
      <c r="A113" s="8"/>
      <c r="B113" s="10">
        <v>45876</v>
      </c>
      <c r="C113" s="12">
        <v>1.15E-2</v>
      </c>
      <c r="D113" s="21">
        <v>398.5</v>
      </c>
      <c r="E113" s="21">
        <v>392</v>
      </c>
      <c r="F113" s="21">
        <v>400.55</v>
      </c>
      <c r="G113" s="21">
        <v>387.5</v>
      </c>
      <c r="H113" s="22">
        <v>10360000</v>
      </c>
      <c r="I113" s="17"/>
      <c r="M113" s="10">
        <v>45876</v>
      </c>
      <c r="N113" s="12">
        <v>9.7000000000000003E-3</v>
      </c>
      <c r="O113" s="28">
        <v>301.75</v>
      </c>
      <c r="P113" s="28">
        <v>291.55</v>
      </c>
      <c r="Q113" s="28">
        <v>303.2</v>
      </c>
      <c r="R113" s="28">
        <v>288.39999999999998</v>
      </c>
      <c r="S113" s="22">
        <v>391550000</v>
      </c>
      <c r="T113" s="7"/>
    </row>
    <row r="114" spans="1:20" x14ac:dyDescent="0.3">
      <c r="A114" s="8"/>
      <c r="B114" s="10">
        <v>45877</v>
      </c>
      <c r="C114" s="12">
        <v>-3.44E-2</v>
      </c>
      <c r="D114" s="21">
        <v>384.8</v>
      </c>
      <c r="E114" s="21">
        <v>402.9</v>
      </c>
      <c r="F114" s="21">
        <v>402.9</v>
      </c>
      <c r="G114" s="21">
        <v>381.85</v>
      </c>
      <c r="H114" s="22">
        <v>9490000</v>
      </c>
      <c r="I114" s="17"/>
      <c r="M114" s="10">
        <v>45877</v>
      </c>
      <c r="N114" s="12">
        <v>-2.8E-3</v>
      </c>
      <c r="O114" s="28">
        <v>300.89999999999998</v>
      </c>
      <c r="P114" s="28">
        <v>300.35000000000002</v>
      </c>
      <c r="Q114" s="28">
        <v>302.39999999999998</v>
      </c>
      <c r="R114" s="28">
        <v>298.10000000000002</v>
      </c>
      <c r="S114" s="22">
        <v>28460000</v>
      </c>
      <c r="T114" s="7"/>
    </row>
    <row r="115" spans="1:20" x14ac:dyDescent="0.3">
      <c r="A115" s="8"/>
      <c r="B115" s="10">
        <v>45880</v>
      </c>
      <c r="C115" s="12">
        <v>4.1300000000000003E-2</v>
      </c>
      <c r="D115" s="21">
        <v>400.7</v>
      </c>
      <c r="E115" s="21">
        <v>385</v>
      </c>
      <c r="F115" s="21">
        <v>404.95</v>
      </c>
      <c r="G115" s="21">
        <v>381.65</v>
      </c>
      <c r="H115" s="22">
        <v>9170000</v>
      </c>
      <c r="I115" s="17"/>
      <c r="M115" s="10">
        <v>45880</v>
      </c>
      <c r="N115" s="12">
        <v>2.8199999999999999E-2</v>
      </c>
      <c r="O115" s="28">
        <v>309.39999999999998</v>
      </c>
      <c r="P115" s="28">
        <v>300.89999999999998</v>
      </c>
      <c r="Q115" s="28">
        <v>310.39999999999998</v>
      </c>
      <c r="R115" s="28">
        <v>299.5</v>
      </c>
      <c r="S115" s="22">
        <v>44950000</v>
      </c>
      <c r="T115" s="7"/>
    </row>
    <row r="116" spans="1:20" x14ac:dyDescent="0.3">
      <c r="A116" s="8"/>
      <c r="B116" s="10">
        <v>45881</v>
      </c>
      <c r="C116" s="12">
        <v>-1.8599999999999998E-2</v>
      </c>
      <c r="D116" s="21">
        <v>393.25</v>
      </c>
      <c r="E116" s="21">
        <v>403</v>
      </c>
      <c r="F116" s="21">
        <v>403.5</v>
      </c>
      <c r="G116" s="21">
        <v>391.65</v>
      </c>
      <c r="H116" s="22">
        <v>9640000</v>
      </c>
      <c r="I116" s="17"/>
      <c r="M116" s="10">
        <v>45881</v>
      </c>
      <c r="N116" s="12">
        <v>-1.1299999999999999E-2</v>
      </c>
      <c r="O116" s="28">
        <v>305.89999999999998</v>
      </c>
      <c r="P116" s="28">
        <v>309.39999999999998</v>
      </c>
      <c r="Q116" s="28">
        <v>310</v>
      </c>
      <c r="R116" s="28">
        <v>304.55</v>
      </c>
      <c r="S116" s="22">
        <v>20830000</v>
      </c>
      <c r="T116" s="7"/>
    </row>
    <row r="117" spans="1:20" x14ac:dyDescent="0.3">
      <c r="A117" s="8"/>
      <c r="B117" s="10">
        <v>45882</v>
      </c>
      <c r="C117" s="12">
        <v>1.8200000000000001E-2</v>
      </c>
      <c r="D117" s="21">
        <v>400.4</v>
      </c>
      <c r="E117" s="21">
        <v>396.45</v>
      </c>
      <c r="F117" s="21">
        <v>405.75</v>
      </c>
      <c r="G117" s="21">
        <v>395.1</v>
      </c>
      <c r="H117" s="22">
        <v>12850000</v>
      </c>
      <c r="I117" s="17"/>
      <c r="M117" s="10">
        <v>45882</v>
      </c>
      <c r="N117" s="12">
        <v>2.1100000000000001E-2</v>
      </c>
      <c r="O117" s="28">
        <v>312.35000000000002</v>
      </c>
      <c r="P117" s="28">
        <v>305.89999999999998</v>
      </c>
      <c r="Q117" s="28">
        <v>314</v>
      </c>
      <c r="R117" s="28">
        <v>305.55</v>
      </c>
      <c r="S117" s="22">
        <v>28120000</v>
      </c>
      <c r="T117" s="7"/>
    </row>
    <row r="118" spans="1:20" x14ac:dyDescent="0.3">
      <c r="A118" s="8"/>
      <c r="B118" s="10">
        <v>45883</v>
      </c>
      <c r="C118" s="12">
        <v>-5.0000000000000001E-3</v>
      </c>
      <c r="D118" s="21">
        <v>398.4</v>
      </c>
      <c r="E118" s="21">
        <v>401</v>
      </c>
      <c r="F118" s="21">
        <v>403.8</v>
      </c>
      <c r="G118" s="21">
        <v>397</v>
      </c>
      <c r="H118" s="22">
        <v>7190000</v>
      </c>
      <c r="I118" s="17"/>
      <c r="M118" s="10">
        <v>45883</v>
      </c>
      <c r="N118" s="12">
        <v>1.9400000000000001E-2</v>
      </c>
      <c r="O118" s="28">
        <v>318.39999999999998</v>
      </c>
      <c r="P118" s="28">
        <v>313</v>
      </c>
      <c r="Q118" s="28">
        <v>319.8</v>
      </c>
      <c r="R118" s="28">
        <v>310.64999999999998</v>
      </c>
      <c r="S118" s="22">
        <v>45890000</v>
      </c>
      <c r="T118" s="7"/>
    </row>
    <row r="119" spans="1:20" x14ac:dyDescent="0.3">
      <c r="A119" s="8"/>
      <c r="B119" s="10">
        <v>45887</v>
      </c>
      <c r="C119" s="12">
        <v>3.5999999999999999E-3</v>
      </c>
      <c r="D119" s="21">
        <v>399.85</v>
      </c>
      <c r="E119" s="21">
        <v>408.05</v>
      </c>
      <c r="F119" s="21">
        <v>410.85</v>
      </c>
      <c r="G119" s="21">
        <v>397.8</v>
      </c>
      <c r="H119" s="22">
        <v>12190000</v>
      </c>
      <c r="I119" s="17"/>
      <c r="M119" s="10">
        <v>45887</v>
      </c>
      <c r="N119" s="12">
        <v>-1.0999999999999999E-2</v>
      </c>
      <c r="O119" s="28">
        <v>314.89999999999998</v>
      </c>
      <c r="P119" s="28">
        <v>318.39999999999998</v>
      </c>
      <c r="Q119" s="28">
        <v>323.7</v>
      </c>
      <c r="R119" s="28">
        <v>313.64999999999998</v>
      </c>
      <c r="S119" s="22">
        <v>42360000</v>
      </c>
      <c r="T119" s="7"/>
    </row>
    <row r="120" spans="1:20" x14ac:dyDescent="0.3">
      <c r="A120" s="8"/>
      <c r="B120" s="10">
        <v>45888</v>
      </c>
      <c r="C120" s="12">
        <v>2.46E-2</v>
      </c>
      <c r="D120" s="21">
        <v>409.7</v>
      </c>
      <c r="E120" s="21">
        <v>401.8</v>
      </c>
      <c r="F120" s="21">
        <v>410.75</v>
      </c>
      <c r="G120" s="21">
        <v>399.5</v>
      </c>
      <c r="H120" s="22">
        <v>12940000</v>
      </c>
      <c r="I120" s="17"/>
      <c r="M120" s="10">
        <v>45888</v>
      </c>
      <c r="N120" s="12">
        <v>2.0799999999999999E-2</v>
      </c>
      <c r="O120" s="28">
        <v>321.45</v>
      </c>
      <c r="P120" s="28">
        <v>316.5</v>
      </c>
      <c r="Q120" s="28">
        <v>321.89999999999998</v>
      </c>
      <c r="R120" s="28">
        <v>311.7</v>
      </c>
      <c r="S120" s="22">
        <v>36590000</v>
      </c>
      <c r="T120" s="7"/>
    </row>
    <row r="121" spans="1:20" x14ac:dyDescent="0.3">
      <c r="A121" s="8"/>
      <c r="B121" s="10">
        <v>45889</v>
      </c>
      <c r="C121" s="12">
        <v>2.7699999999999999E-2</v>
      </c>
      <c r="D121" s="21">
        <v>421.05</v>
      </c>
      <c r="E121" s="21">
        <v>408.5</v>
      </c>
      <c r="F121" s="21">
        <v>422.7</v>
      </c>
      <c r="G121" s="21">
        <v>406.35</v>
      </c>
      <c r="H121" s="22">
        <v>26080000</v>
      </c>
      <c r="I121" s="17"/>
      <c r="M121" s="10">
        <v>45889</v>
      </c>
      <c r="N121" s="12">
        <v>1.5900000000000001E-2</v>
      </c>
      <c r="O121" s="28">
        <v>326.55</v>
      </c>
      <c r="P121" s="28">
        <v>322.39999999999998</v>
      </c>
      <c r="Q121" s="28">
        <v>331.35</v>
      </c>
      <c r="R121" s="28">
        <v>320.35000000000002</v>
      </c>
      <c r="S121" s="22">
        <v>55730000</v>
      </c>
      <c r="T121" s="7"/>
    </row>
    <row r="122" spans="1:20" x14ac:dyDescent="0.3">
      <c r="A122" s="8"/>
      <c r="B122" s="10">
        <v>45890</v>
      </c>
      <c r="C122" s="12">
        <v>3.4799999999999998E-2</v>
      </c>
      <c r="D122" s="21">
        <v>435.7</v>
      </c>
      <c r="E122" s="21">
        <v>427</v>
      </c>
      <c r="F122" s="21">
        <v>443.4</v>
      </c>
      <c r="G122" s="21">
        <v>424.1</v>
      </c>
      <c r="H122" s="22">
        <v>39500000</v>
      </c>
      <c r="I122" s="17"/>
      <c r="M122" s="10">
        <v>45890</v>
      </c>
      <c r="N122" s="12">
        <v>-1.4500000000000001E-2</v>
      </c>
      <c r="O122" s="28">
        <v>321.8</v>
      </c>
      <c r="P122" s="28">
        <v>324.60000000000002</v>
      </c>
      <c r="Q122" s="28">
        <v>325.89999999999998</v>
      </c>
      <c r="R122" s="28">
        <v>321</v>
      </c>
      <c r="S122" s="22">
        <v>22060000</v>
      </c>
      <c r="T122" s="7"/>
    </row>
    <row r="123" spans="1:20" x14ac:dyDescent="0.3">
      <c r="A123" s="8"/>
      <c r="B123" s="10">
        <v>45891</v>
      </c>
      <c r="C123" s="12">
        <v>-1.7899999999999999E-2</v>
      </c>
      <c r="D123" s="21">
        <v>427.9</v>
      </c>
      <c r="E123" s="21">
        <v>431.85</v>
      </c>
      <c r="F123" s="21">
        <v>434.95</v>
      </c>
      <c r="G123" s="21">
        <v>421.2</v>
      </c>
      <c r="H123" s="22">
        <v>15410000</v>
      </c>
      <c r="I123" s="17"/>
      <c r="M123" s="10">
        <v>45891</v>
      </c>
      <c r="N123" s="12">
        <v>-8.3999999999999995E-3</v>
      </c>
      <c r="O123" s="28">
        <v>319.10000000000002</v>
      </c>
      <c r="P123" s="28">
        <v>321.8</v>
      </c>
      <c r="Q123" s="28">
        <v>324</v>
      </c>
      <c r="R123" s="28">
        <v>318.25</v>
      </c>
      <c r="S123" s="22">
        <v>22870000</v>
      </c>
      <c r="T123" s="7"/>
    </row>
    <row r="124" spans="1:20" x14ac:dyDescent="0.3">
      <c r="A124" s="8"/>
      <c r="B124" s="10">
        <v>45894</v>
      </c>
      <c r="C124" s="12">
        <v>-5.3E-3</v>
      </c>
      <c r="D124" s="21">
        <v>425.65</v>
      </c>
      <c r="E124" s="21">
        <v>428</v>
      </c>
      <c r="F124" s="21">
        <v>432.3</v>
      </c>
      <c r="G124" s="21">
        <v>420.1</v>
      </c>
      <c r="H124" s="22">
        <v>13760000</v>
      </c>
      <c r="I124" s="17"/>
      <c r="M124" s="10">
        <v>45894</v>
      </c>
      <c r="N124" s="12">
        <v>5.0000000000000001E-4</v>
      </c>
      <c r="O124" s="28">
        <v>319.25</v>
      </c>
      <c r="P124" s="28">
        <v>320</v>
      </c>
      <c r="Q124" s="28">
        <v>323.8</v>
      </c>
      <c r="R124" s="28">
        <v>316.55</v>
      </c>
      <c r="S124" s="22">
        <v>20880000</v>
      </c>
      <c r="T124" s="7"/>
    </row>
    <row r="125" spans="1:20" x14ac:dyDescent="0.3">
      <c r="A125" s="8"/>
      <c r="B125" s="10">
        <v>45895</v>
      </c>
      <c r="C125" s="12">
        <v>1.15E-2</v>
      </c>
      <c r="D125" s="21">
        <v>430.55</v>
      </c>
      <c r="E125" s="21">
        <v>427</v>
      </c>
      <c r="F125" s="21">
        <v>439.4</v>
      </c>
      <c r="G125" s="21">
        <v>419</v>
      </c>
      <c r="H125" s="22">
        <v>126310000</v>
      </c>
      <c r="I125" s="17"/>
      <c r="M125" s="10">
        <v>45895</v>
      </c>
      <c r="N125" s="12">
        <v>-4.1999999999999997E-3</v>
      </c>
      <c r="O125" s="28">
        <v>317.89999999999998</v>
      </c>
      <c r="P125" s="28">
        <v>317.3</v>
      </c>
      <c r="Q125" s="28">
        <v>321.5</v>
      </c>
      <c r="R125" s="28">
        <v>315.05</v>
      </c>
      <c r="S125" s="22">
        <v>438500000</v>
      </c>
      <c r="T125" s="7"/>
    </row>
    <row r="126" spans="1:20" x14ac:dyDescent="0.3">
      <c r="A126" s="8"/>
      <c r="B126" s="10">
        <v>45897</v>
      </c>
      <c r="C126" s="12">
        <v>-2.2200000000000001E-2</v>
      </c>
      <c r="D126" s="21">
        <v>421</v>
      </c>
      <c r="E126" s="21">
        <v>430.55</v>
      </c>
      <c r="F126" s="21">
        <v>433.2</v>
      </c>
      <c r="G126" s="21">
        <v>419.6</v>
      </c>
      <c r="H126" s="22">
        <v>9100000</v>
      </c>
      <c r="I126" s="17"/>
      <c r="M126" s="10">
        <v>45897</v>
      </c>
      <c r="N126" s="12">
        <v>-7.4999999999999997E-3</v>
      </c>
      <c r="O126" s="28">
        <v>315.5</v>
      </c>
      <c r="P126" s="28">
        <v>321.2</v>
      </c>
      <c r="Q126" s="28">
        <v>323.10000000000002</v>
      </c>
      <c r="R126" s="28">
        <v>313.25</v>
      </c>
      <c r="S126" s="22">
        <v>44020000</v>
      </c>
      <c r="T126" s="7"/>
    </row>
    <row r="127" spans="1:20" x14ac:dyDescent="0.3">
      <c r="A127" s="8"/>
      <c r="B127" s="10">
        <v>45898</v>
      </c>
      <c r="C127" s="12">
        <v>-2.6700000000000002E-2</v>
      </c>
      <c r="D127" s="21">
        <v>409.75</v>
      </c>
      <c r="E127" s="21">
        <v>425</v>
      </c>
      <c r="F127" s="21">
        <v>425</v>
      </c>
      <c r="G127" s="21">
        <v>406.15</v>
      </c>
      <c r="H127" s="22">
        <v>13270000</v>
      </c>
      <c r="I127" s="17"/>
      <c r="M127" s="10">
        <v>45898</v>
      </c>
      <c r="N127" s="12">
        <v>-4.8999999999999998E-3</v>
      </c>
      <c r="O127" s="28">
        <v>313.95</v>
      </c>
      <c r="P127" s="28">
        <v>315.55</v>
      </c>
      <c r="Q127" s="28">
        <v>316.75</v>
      </c>
      <c r="R127" s="28">
        <v>307.75</v>
      </c>
      <c r="S127" s="22">
        <v>62440000</v>
      </c>
      <c r="T127" s="7"/>
    </row>
    <row r="128" spans="1:20" x14ac:dyDescent="0.3">
      <c r="A128" s="8"/>
      <c r="B128" s="10">
        <v>45901</v>
      </c>
      <c r="C128" s="12">
        <v>4.58E-2</v>
      </c>
      <c r="D128" s="21">
        <v>428.5</v>
      </c>
      <c r="E128" s="21">
        <v>416.95</v>
      </c>
      <c r="F128" s="21">
        <v>430</v>
      </c>
      <c r="G128" s="21">
        <v>413.25</v>
      </c>
      <c r="H128" s="22">
        <v>12340000</v>
      </c>
      <c r="I128" s="17"/>
      <c r="M128" s="10">
        <v>45901</v>
      </c>
      <c r="N128" s="12">
        <v>2.2800000000000001E-2</v>
      </c>
      <c r="O128" s="28">
        <v>321.10000000000002</v>
      </c>
      <c r="P128" s="28">
        <v>313.95</v>
      </c>
      <c r="Q128" s="28">
        <v>322.5</v>
      </c>
      <c r="R128" s="28">
        <v>313.95</v>
      </c>
      <c r="S128" s="22">
        <v>47890000</v>
      </c>
      <c r="T128" s="7"/>
    </row>
    <row r="129" spans="1:20" x14ac:dyDescent="0.3">
      <c r="A129" s="8"/>
      <c r="B129" s="10">
        <v>45902</v>
      </c>
      <c r="C129" s="12">
        <v>-6.0000000000000001E-3</v>
      </c>
      <c r="D129" s="21">
        <v>425.95</v>
      </c>
      <c r="E129" s="21">
        <v>427.95</v>
      </c>
      <c r="F129" s="21">
        <v>432.6</v>
      </c>
      <c r="G129" s="21">
        <v>421.45</v>
      </c>
      <c r="H129" s="22">
        <v>7320000</v>
      </c>
      <c r="I129" s="17"/>
      <c r="M129" s="10">
        <v>45902</v>
      </c>
      <c r="N129" s="12">
        <v>4.0000000000000001E-3</v>
      </c>
      <c r="O129" s="28">
        <v>322.39999999999998</v>
      </c>
      <c r="P129" s="28">
        <v>322.85000000000002</v>
      </c>
      <c r="Q129" s="28">
        <v>327.39999999999998</v>
      </c>
      <c r="R129" s="28">
        <v>320.45</v>
      </c>
      <c r="S129" s="22">
        <v>48880000</v>
      </c>
      <c r="T129" s="7"/>
    </row>
    <row r="130" spans="1:20" x14ac:dyDescent="0.3">
      <c r="A130" s="8"/>
      <c r="B130" s="10">
        <v>45903</v>
      </c>
      <c r="C130" s="12">
        <v>1.09E-2</v>
      </c>
      <c r="D130" s="21">
        <v>430.6</v>
      </c>
      <c r="E130" s="21">
        <v>428.1</v>
      </c>
      <c r="F130" s="21">
        <v>434.75</v>
      </c>
      <c r="G130" s="21">
        <v>424.65</v>
      </c>
      <c r="H130" s="22">
        <v>8199999.9999999991</v>
      </c>
      <c r="I130" s="17"/>
      <c r="M130" s="10">
        <v>45903</v>
      </c>
      <c r="N130" s="12">
        <v>1.15E-2</v>
      </c>
      <c r="O130" s="28">
        <v>326.10000000000002</v>
      </c>
      <c r="P130" s="28">
        <v>325.10000000000002</v>
      </c>
      <c r="Q130" s="28">
        <v>328.75</v>
      </c>
      <c r="R130" s="28">
        <v>322</v>
      </c>
      <c r="S130" s="22">
        <v>46670000</v>
      </c>
      <c r="T130" s="7"/>
    </row>
    <row r="131" spans="1:20" x14ac:dyDescent="0.3">
      <c r="A131" s="8"/>
      <c r="B131" s="10">
        <v>45904</v>
      </c>
      <c r="C131" s="12">
        <v>-1.7399999999999999E-2</v>
      </c>
      <c r="D131" s="21">
        <v>423.1</v>
      </c>
      <c r="E131" s="21">
        <v>432</v>
      </c>
      <c r="F131" s="21">
        <v>436.25</v>
      </c>
      <c r="G131" s="21">
        <v>421.2</v>
      </c>
      <c r="H131" s="22">
        <v>7540000</v>
      </c>
      <c r="I131" s="17"/>
      <c r="M131" s="10">
        <v>45904</v>
      </c>
      <c r="N131" s="12">
        <v>5.0000000000000001E-4</v>
      </c>
      <c r="O131" s="28">
        <v>326.25</v>
      </c>
      <c r="P131" s="28">
        <v>328</v>
      </c>
      <c r="Q131" s="28">
        <v>329</v>
      </c>
      <c r="R131" s="28">
        <v>322.8</v>
      </c>
      <c r="S131" s="22">
        <v>43290000</v>
      </c>
      <c r="T131" s="7"/>
    </row>
    <row r="132" spans="1:20" x14ac:dyDescent="0.3">
      <c r="A132" s="8"/>
      <c r="B132" s="10">
        <v>45905</v>
      </c>
      <c r="C132" s="12">
        <v>3.7699999999999997E-2</v>
      </c>
      <c r="D132" s="21">
        <v>439.05</v>
      </c>
      <c r="E132" s="21">
        <v>425</v>
      </c>
      <c r="F132" s="21">
        <v>440</v>
      </c>
      <c r="G132" s="21">
        <v>420.7</v>
      </c>
      <c r="H132" s="22">
        <v>20280000</v>
      </c>
      <c r="I132" s="17"/>
      <c r="M132" s="10">
        <v>45905</v>
      </c>
      <c r="N132" s="12">
        <v>8.8999999999999999E-3</v>
      </c>
      <c r="O132" s="28">
        <v>329.15</v>
      </c>
      <c r="P132" s="28">
        <v>327.55</v>
      </c>
      <c r="Q132" s="28">
        <v>334.4</v>
      </c>
      <c r="R132" s="28">
        <v>326.3</v>
      </c>
      <c r="S132" s="22">
        <v>31650000</v>
      </c>
      <c r="T132" s="7"/>
    </row>
    <row r="133" spans="1:20" x14ac:dyDescent="0.3">
      <c r="A133" s="8"/>
      <c r="B133" s="10">
        <v>45908</v>
      </c>
      <c r="C133" s="12">
        <v>9.2999999999999992E-3</v>
      </c>
      <c r="D133" s="21">
        <v>443.15</v>
      </c>
      <c r="E133" s="21">
        <v>443</v>
      </c>
      <c r="F133" s="21">
        <v>458.95</v>
      </c>
      <c r="G133" s="21">
        <v>440</v>
      </c>
      <c r="H133" s="22">
        <v>19460000</v>
      </c>
      <c r="I133" s="17"/>
      <c r="M133" s="10">
        <v>45908</v>
      </c>
      <c r="N133" s="12">
        <v>1.5E-3</v>
      </c>
      <c r="O133" s="28">
        <v>329.65</v>
      </c>
      <c r="P133" s="28">
        <v>331</v>
      </c>
      <c r="Q133" s="28">
        <v>332.2</v>
      </c>
      <c r="R133" s="28">
        <v>328.2</v>
      </c>
      <c r="S133" s="22">
        <v>17190000</v>
      </c>
      <c r="T133" s="7"/>
    </row>
    <row r="134" spans="1:20" x14ac:dyDescent="0.3">
      <c r="A134" s="8"/>
      <c r="B134" s="10">
        <v>45909</v>
      </c>
      <c r="C134" s="12">
        <v>-1.47E-2</v>
      </c>
      <c r="D134" s="21">
        <v>436.65</v>
      </c>
      <c r="E134" s="21">
        <v>445</v>
      </c>
      <c r="F134" s="21">
        <v>445</v>
      </c>
      <c r="G134" s="21">
        <v>432.2</v>
      </c>
      <c r="H134" s="22">
        <v>9440000</v>
      </c>
      <c r="I134" s="17"/>
      <c r="M134" s="10">
        <v>45909</v>
      </c>
      <c r="N134" s="12">
        <v>-1.2E-2</v>
      </c>
      <c r="O134" s="28">
        <v>325.7</v>
      </c>
      <c r="P134" s="28">
        <v>329</v>
      </c>
      <c r="Q134" s="28">
        <v>329.65</v>
      </c>
      <c r="R134" s="28">
        <v>323.75</v>
      </c>
      <c r="S134" s="22">
        <v>19660000</v>
      </c>
      <c r="T134" s="7"/>
    </row>
    <row r="135" spans="1:20" x14ac:dyDescent="0.3">
      <c r="A135" s="8"/>
      <c r="B135" s="10">
        <v>45910</v>
      </c>
      <c r="C135" s="12">
        <v>-2.92E-2</v>
      </c>
      <c r="D135" s="21">
        <v>423.9</v>
      </c>
      <c r="E135" s="21">
        <v>438.75</v>
      </c>
      <c r="F135" s="21">
        <v>438.75</v>
      </c>
      <c r="G135" s="21">
        <v>421.4</v>
      </c>
      <c r="H135" s="22">
        <v>13010000</v>
      </c>
      <c r="I135" s="17"/>
      <c r="M135" s="10">
        <v>45910</v>
      </c>
      <c r="N135" s="12">
        <v>-4.0000000000000001E-3</v>
      </c>
      <c r="O135" s="28">
        <v>324.39999999999998</v>
      </c>
      <c r="P135" s="28">
        <v>328.95</v>
      </c>
      <c r="Q135" s="28">
        <v>328.95</v>
      </c>
      <c r="R135" s="28">
        <v>322.8</v>
      </c>
      <c r="S135" s="22">
        <v>18980000</v>
      </c>
      <c r="T135" s="7"/>
    </row>
    <row r="136" spans="1:20" x14ac:dyDescent="0.3">
      <c r="A136" s="8"/>
      <c r="B136" s="10">
        <v>45911</v>
      </c>
      <c r="C136" s="12">
        <v>-5.0000000000000001E-4</v>
      </c>
      <c r="D136" s="21">
        <v>423.7</v>
      </c>
      <c r="E136" s="21">
        <v>426.95</v>
      </c>
      <c r="F136" s="21">
        <v>432.2</v>
      </c>
      <c r="G136" s="21">
        <v>422.5</v>
      </c>
      <c r="H136" s="22">
        <v>8590000</v>
      </c>
      <c r="I136" s="17"/>
      <c r="M136" s="10">
        <v>45911</v>
      </c>
      <c r="N136" s="12">
        <v>1.14E-2</v>
      </c>
      <c r="O136" s="28">
        <v>328.1</v>
      </c>
      <c r="P136" s="28">
        <v>325</v>
      </c>
      <c r="Q136" s="28">
        <v>331.35</v>
      </c>
      <c r="R136" s="28">
        <v>324.7</v>
      </c>
      <c r="S136" s="22">
        <v>22340000</v>
      </c>
      <c r="T136" s="7"/>
    </row>
    <row r="137" spans="1:20" x14ac:dyDescent="0.3">
      <c r="A137" s="8"/>
      <c r="B137" s="10">
        <v>45912</v>
      </c>
      <c r="C137" s="12">
        <v>-7.4000000000000003E-3</v>
      </c>
      <c r="D137" s="21">
        <v>420.55</v>
      </c>
      <c r="E137" s="21">
        <v>425.05</v>
      </c>
      <c r="F137" s="21">
        <v>430</v>
      </c>
      <c r="G137" s="21">
        <v>415.55</v>
      </c>
      <c r="H137" s="22">
        <v>8560000</v>
      </c>
      <c r="I137" s="17"/>
      <c r="M137" s="10">
        <v>45912</v>
      </c>
      <c r="N137" s="12">
        <v>-2.0400000000000001E-2</v>
      </c>
      <c r="O137" s="28">
        <v>321.39999999999998</v>
      </c>
      <c r="P137" s="28">
        <v>327.10000000000002</v>
      </c>
      <c r="Q137" s="28">
        <v>327.9</v>
      </c>
      <c r="R137" s="28">
        <v>320.7</v>
      </c>
      <c r="S137" s="22">
        <v>19920000</v>
      </c>
      <c r="T137" s="7"/>
    </row>
    <row r="138" spans="1:20" x14ac:dyDescent="0.3">
      <c r="A138" s="8"/>
      <c r="B138" s="10">
        <v>45915</v>
      </c>
      <c r="C138" s="12">
        <v>1.0200000000000001E-2</v>
      </c>
      <c r="D138" s="21">
        <v>424.85</v>
      </c>
      <c r="E138" s="21">
        <v>422.65</v>
      </c>
      <c r="F138" s="21">
        <v>427.9</v>
      </c>
      <c r="G138" s="21">
        <v>420.45</v>
      </c>
      <c r="H138" s="22">
        <v>5200000</v>
      </c>
      <c r="I138" s="17"/>
      <c r="M138" s="10">
        <v>45915</v>
      </c>
      <c r="N138" s="12">
        <v>5.8999999999999999E-3</v>
      </c>
      <c r="O138" s="28">
        <v>323.3</v>
      </c>
      <c r="P138" s="28">
        <v>322.95</v>
      </c>
      <c r="Q138" s="28">
        <v>325.60000000000002</v>
      </c>
      <c r="R138" s="28">
        <v>321.5</v>
      </c>
      <c r="S138" s="22">
        <v>16290000</v>
      </c>
      <c r="T138" s="7"/>
    </row>
    <row r="139" spans="1:20" x14ac:dyDescent="0.3">
      <c r="A139" s="8"/>
      <c r="B139" s="10">
        <v>45916</v>
      </c>
      <c r="C139" s="12">
        <v>2.9100000000000001E-2</v>
      </c>
      <c r="D139" s="21">
        <v>437.2</v>
      </c>
      <c r="E139" s="21">
        <v>427.9</v>
      </c>
      <c r="F139" s="21">
        <v>439.2</v>
      </c>
      <c r="G139" s="21">
        <v>425.3</v>
      </c>
      <c r="H139" s="22">
        <v>12770000</v>
      </c>
      <c r="I139" s="17"/>
      <c r="M139" s="10">
        <v>45916</v>
      </c>
      <c r="N139" s="12">
        <v>1.24E-2</v>
      </c>
      <c r="O139" s="28">
        <v>327.3</v>
      </c>
      <c r="P139" s="28">
        <v>323</v>
      </c>
      <c r="Q139" s="28">
        <v>327.8</v>
      </c>
      <c r="R139" s="28">
        <v>322</v>
      </c>
      <c r="S139" s="22">
        <v>19200000</v>
      </c>
      <c r="T139" s="7"/>
    </row>
    <row r="140" spans="1:20" x14ac:dyDescent="0.3">
      <c r="A140" s="8"/>
      <c r="B140" s="10">
        <v>45917</v>
      </c>
      <c r="C140" s="12">
        <v>8.6E-3</v>
      </c>
      <c r="D140" s="21">
        <v>440.95</v>
      </c>
      <c r="E140" s="21">
        <v>437</v>
      </c>
      <c r="F140" s="21">
        <v>442.6</v>
      </c>
      <c r="G140" s="21">
        <v>432</v>
      </c>
      <c r="H140" s="22">
        <v>7020000</v>
      </c>
      <c r="I140" s="17"/>
      <c r="M140" s="10">
        <v>45917</v>
      </c>
      <c r="N140" s="12">
        <v>2.8999999999999998E-3</v>
      </c>
      <c r="O140" s="28">
        <v>328.25</v>
      </c>
      <c r="P140" s="28">
        <v>327.3</v>
      </c>
      <c r="Q140" s="28">
        <v>330</v>
      </c>
      <c r="R140" s="28">
        <v>325.3</v>
      </c>
      <c r="S140" s="22">
        <v>14900000</v>
      </c>
      <c r="T140" s="7"/>
    </row>
    <row r="141" spans="1:20" x14ac:dyDescent="0.3">
      <c r="A141" s="8"/>
      <c r="B141" s="10">
        <v>45918</v>
      </c>
      <c r="C141" s="12">
        <v>8.0999999999999996E-3</v>
      </c>
      <c r="D141" s="21">
        <v>444.5</v>
      </c>
      <c r="E141" s="21">
        <v>440</v>
      </c>
      <c r="F141" s="21">
        <v>445</v>
      </c>
      <c r="G141" s="21">
        <v>436.25</v>
      </c>
      <c r="H141" s="22">
        <v>4540000</v>
      </c>
      <c r="I141" s="17"/>
      <c r="M141" s="10">
        <v>45918</v>
      </c>
      <c r="N141" s="12">
        <v>2.92E-2</v>
      </c>
      <c r="O141" s="28">
        <v>337.85</v>
      </c>
      <c r="P141" s="28">
        <v>328.8</v>
      </c>
      <c r="Q141" s="28">
        <v>338.5</v>
      </c>
      <c r="R141" s="28">
        <v>328.3</v>
      </c>
      <c r="S141" s="22">
        <v>36580000</v>
      </c>
      <c r="T141" s="7"/>
    </row>
    <row r="142" spans="1:20" x14ac:dyDescent="0.3">
      <c r="A142" s="8"/>
      <c r="B142" s="10">
        <v>45919</v>
      </c>
      <c r="C142" s="12">
        <v>3.1399999999999997E-2</v>
      </c>
      <c r="D142" s="21">
        <v>458.45</v>
      </c>
      <c r="E142" s="21">
        <v>445</v>
      </c>
      <c r="F142" s="21">
        <v>474</v>
      </c>
      <c r="G142" s="21">
        <v>440.85</v>
      </c>
      <c r="H142" s="22">
        <v>66260000.000000007</v>
      </c>
      <c r="I142" s="17"/>
      <c r="M142" s="10">
        <v>45919</v>
      </c>
      <c r="N142" s="12">
        <v>-3.8E-3</v>
      </c>
      <c r="O142" s="28">
        <v>336.55</v>
      </c>
      <c r="P142" s="28">
        <v>337</v>
      </c>
      <c r="Q142" s="28">
        <v>340</v>
      </c>
      <c r="R142" s="28">
        <v>334.55</v>
      </c>
      <c r="S142" s="22">
        <v>29150000</v>
      </c>
      <c r="T142" s="7"/>
    </row>
    <row r="143" spans="1:20" x14ac:dyDescent="0.3">
      <c r="A143" s="8"/>
      <c r="B143" s="10">
        <v>45922</v>
      </c>
      <c r="C143" s="12">
        <v>-1.9400000000000001E-2</v>
      </c>
      <c r="D143" s="21">
        <v>449.55</v>
      </c>
      <c r="E143" s="21">
        <v>461</v>
      </c>
      <c r="F143" s="21">
        <v>464.35</v>
      </c>
      <c r="G143" s="21">
        <v>446.55</v>
      </c>
      <c r="H143" s="22">
        <v>12830000</v>
      </c>
      <c r="I143" s="17"/>
      <c r="M143" s="10">
        <v>45922</v>
      </c>
      <c r="N143" s="12">
        <v>1.5699999999999999E-2</v>
      </c>
      <c r="O143" s="28">
        <v>341.85</v>
      </c>
      <c r="P143" s="28">
        <v>340</v>
      </c>
      <c r="Q143" s="28">
        <v>343.9</v>
      </c>
      <c r="R143" s="28">
        <v>336.7</v>
      </c>
      <c r="S143" s="22">
        <v>28630000</v>
      </c>
      <c r="T143" s="7"/>
    </row>
    <row r="144" spans="1:20" x14ac:dyDescent="0.3">
      <c r="A144" s="8"/>
      <c r="B144" s="10">
        <v>45923</v>
      </c>
      <c r="C144" s="12">
        <v>-8.0000000000000004E-4</v>
      </c>
      <c r="D144" s="21">
        <v>449.2</v>
      </c>
      <c r="E144" s="21">
        <v>450.7</v>
      </c>
      <c r="F144" s="21">
        <v>451.65</v>
      </c>
      <c r="G144" s="21">
        <v>445.2</v>
      </c>
      <c r="H144" s="22">
        <v>7990000</v>
      </c>
      <c r="I144" s="17"/>
      <c r="M144" s="10">
        <v>45923</v>
      </c>
      <c r="N144" s="12">
        <v>-1.0200000000000001E-2</v>
      </c>
      <c r="O144" s="28">
        <v>338.35</v>
      </c>
      <c r="P144" s="28">
        <v>340.95</v>
      </c>
      <c r="Q144" s="28">
        <v>341.3</v>
      </c>
      <c r="R144" s="28">
        <v>336.7</v>
      </c>
      <c r="S144" s="22">
        <v>15140000</v>
      </c>
      <c r="T144" s="7"/>
    </row>
    <row r="145" spans="1:20" x14ac:dyDescent="0.3">
      <c r="A145" s="8"/>
      <c r="B145" s="10">
        <v>45924</v>
      </c>
      <c r="C145" s="12">
        <v>-2.3900000000000001E-2</v>
      </c>
      <c r="D145" s="21">
        <v>438.45</v>
      </c>
      <c r="E145" s="21">
        <v>458.2</v>
      </c>
      <c r="F145" s="21">
        <v>460.9</v>
      </c>
      <c r="G145" s="21">
        <v>436</v>
      </c>
      <c r="H145" s="22">
        <v>19600000</v>
      </c>
      <c r="I145" s="17"/>
      <c r="M145" s="10">
        <v>45924</v>
      </c>
      <c r="N145" s="12">
        <v>-7.4999999999999997E-3</v>
      </c>
      <c r="O145" s="28">
        <v>335.8</v>
      </c>
      <c r="P145" s="28">
        <v>336.2</v>
      </c>
      <c r="Q145" s="28">
        <v>338</v>
      </c>
      <c r="R145" s="28">
        <v>335.35</v>
      </c>
      <c r="S145" s="22">
        <v>12070000</v>
      </c>
      <c r="T145" s="7"/>
    </row>
    <row r="146" spans="1:20" x14ac:dyDescent="0.3">
      <c r="A146" s="8"/>
      <c r="B146" s="10">
        <v>45925</v>
      </c>
      <c r="C146" s="12">
        <v>-2.8199999999999999E-2</v>
      </c>
      <c r="D146" s="21">
        <v>426.1</v>
      </c>
      <c r="E146" s="21">
        <v>439.95</v>
      </c>
      <c r="F146" s="21">
        <v>440.8</v>
      </c>
      <c r="G146" s="21">
        <v>425</v>
      </c>
      <c r="H146" s="22">
        <v>8860000</v>
      </c>
      <c r="I146" s="17"/>
      <c r="M146" s="10">
        <v>45925</v>
      </c>
      <c r="N146" s="12">
        <v>-1.06E-2</v>
      </c>
      <c r="O146" s="28">
        <v>332.25</v>
      </c>
      <c r="P146" s="28">
        <v>334</v>
      </c>
      <c r="Q146" s="28">
        <v>335.8</v>
      </c>
      <c r="R146" s="28">
        <v>331.2</v>
      </c>
      <c r="S146" s="22">
        <v>16649999.999999998</v>
      </c>
      <c r="T146" s="7"/>
    </row>
    <row r="147" spans="1:20" x14ac:dyDescent="0.3">
      <c r="A147" s="8"/>
      <c r="B147" s="10">
        <v>45926</v>
      </c>
      <c r="C147" s="12">
        <v>-1.2800000000000001E-2</v>
      </c>
      <c r="D147" s="21">
        <v>420.65</v>
      </c>
      <c r="E147" s="21">
        <v>425</v>
      </c>
      <c r="F147" s="21">
        <v>427.9</v>
      </c>
      <c r="G147" s="21">
        <v>418</v>
      </c>
      <c r="H147" s="22">
        <v>11140000</v>
      </c>
      <c r="I147" s="17"/>
      <c r="M147" s="10">
        <v>45926</v>
      </c>
      <c r="N147" s="12">
        <v>-3.39E-2</v>
      </c>
      <c r="O147" s="28">
        <v>321</v>
      </c>
      <c r="P147" s="28">
        <v>331</v>
      </c>
      <c r="Q147" s="28">
        <v>332.9</v>
      </c>
      <c r="R147" s="28">
        <v>320</v>
      </c>
      <c r="S147" s="22">
        <v>26840000</v>
      </c>
      <c r="T147" s="7"/>
    </row>
    <row r="148" spans="1:20" x14ac:dyDescent="0.3">
      <c r="A148" s="8"/>
      <c r="B148" s="10">
        <v>45929</v>
      </c>
      <c r="C148" s="12">
        <v>-9.9000000000000008E-3</v>
      </c>
      <c r="D148" s="21">
        <v>416.5</v>
      </c>
      <c r="E148" s="21">
        <v>423.55</v>
      </c>
      <c r="F148" s="21">
        <v>423.6</v>
      </c>
      <c r="G148" s="21">
        <v>413.2</v>
      </c>
      <c r="H148" s="22">
        <v>19850000</v>
      </c>
      <c r="I148" s="17"/>
      <c r="M148" s="10">
        <v>45929</v>
      </c>
      <c r="N148" s="12">
        <v>1.2E-2</v>
      </c>
      <c r="O148" s="28">
        <v>324.85000000000002</v>
      </c>
      <c r="P148" s="28">
        <v>326.95</v>
      </c>
      <c r="Q148" s="28">
        <v>328.8</v>
      </c>
      <c r="R148" s="28">
        <v>324.25</v>
      </c>
      <c r="S148" s="22">
        <v>21650000</v>
      </c>
      <c r="T148" s="7"/>
    </row>
    <row r="149" spans="1:20" x14ac:dyDescent="0.3">
      <c r="A149" s="8"/>
      <c r="B149" s="10">
        <v>45930</v>
      </c>
      <c r="C149" s="12">
        <v>1.55E-2</v>
      </c>
      <c r="D149" s="21">
        <v>422.95</v>
      </c>
      <c r="E149" s="21">
        <v>419.25</v>
      </c>
      <c r="F149" s="21">
        <v>426.5</v>
      </c>
      <c r="G149" s="21">
        <v>416.55</v>
      </c>
      <c r="H149" s="22">
        <v>13570000</v>
      </c>
      <c r="I149" s="17"/>
      <c r="M149" s="10">
        <v>45930</v>
      </c>
      <c r="N149" s="12">
        <v>2E-3</v>
      </c>
      <c r="O149" s="28">
        <v>325.5</v>
      </c>
      <c r="P149" s="28">
        <v>325.10000000000002</v>
      </c>
      <c r="Q149" s="28">
        <v>328.05</v>
      </c>
      <c r="R149" s="28">
        <v>323.5</v>
      </c>
      <c r="S149" s="22">
        <v>18840000</v>
      </c>
      <c r="T149" s="7"/>
    </row>
    <row r="150" spans="1:20" x14ac:dyDescent="0.3">
      <c r="A150" s="8"/>
      <c r="B150" s="10">
        <v>45931</v>
      </c>
      <c r="C150" s="12">
        <v>-1.23E-2</v>
      </c>
      <c r="D150" s="21">
        <v>417.75</v>
      </c>
      <c r="E150" s="21">
        <v>423.3</v>
      </c>
      <c r="F150" s="21">
        <v>423.3</v>
      </c>
      <c r="G150" s="21">
        <v>414.25</v>
      </c>
      <c r="H150" s="22">
        <v>7080000</v>
      </c>
      <c r="I150" s="17"/>
      <c r="M150" s="10">
        <v>45931</v>
      </c>
      <c r="N150" s="12">
        <v>1.0800000000000001E-2</v>
      </c>
      <c r="O150" s="28">
        <v>329</v>
      </c>
      <c r="P150" s="28">
        <v>323.10000000000002</v>
      </c>
      <c r="Q150" s="28">
        <v>330.25</v>
      </c>
      <c r="R150" s="28">
        <v>320.8</v>
      </c>
      <c r="S150" s="22">
        <v>18370000</v>
      </c>
      <c r="T150" s="7"/>
    </row>
    <row r="151" spans="1:20" x14ac:dyDescent="0.3">
      <c r="A151" s="8"/>
      <c r="B151" s="10">
        <v>45933</v>
      </c>
      <c r="C151" s="12">
        <v>-9.2999999999999992E-3</v>
      </c>
      <c r="D151" s="21">
        <v>413.85</v>
      </c>
      <c r="E151" s="21">
        <v>420</v>
      </c>
      <c r="F151" s="21">
        <v>421.25</v>
      </c>
      <c r="G151" s="21">
        <v>412.55</v>
      </c>
      <c r="H151" s="22">
        <v>7410000</v>
      </c>
      <c r="I151" s="17"/>
      <c r="M151" s="10">
        <v>45933</v>
      </c>
      <c r="N151" s="12">
        <v>-1.6999999999999999E-3</v>
      </c>
      <c r="O151" s="28">
        <v>328.45</v>
      </c>
      <c r="P151" s="28">
        <v>326.2</v>
      </c>
      <c r="Q151" s="28">
        <v>334.8</v>
      </c>
      <c r="R151" s="28">
        <v>324</v>
      </c>
      <c r="S151" s="22">
        <v>25650000</v>
      </c>
      <c r="T151" s="7"/>
    </row>
    <row r="152" spans="1:20" x14ac:dyDescent="0.3">
      <c r="A152" s="8"/>
      <c r="B152" s="10">
        <v>45936</v>
      </c>
      <c r="C152" s="12">
        <v>1.8599999999999998E-2</v>
      </c>
      <c r="D152" s="21">
        <v>421.55</v>
      </c>
      <c r="E152" s="21">
        <v>413.85</v>
      </c>
      <c r="F152" s="21">
        <v>424.7</v>
      </c>
      <c r="G152" s="21">
        <v>408.15</v>
      </c>
      <c r="H152" s="22">
        <v>8060000.0000000009</v>
      </c>
      <c r="I152" s="17"/>
      <c r="M152" s="10">
        <v>45936</v>
      </c>
      <c r="N152" s="12">
        <v>2.0199999999999999E-2</v>
      </c>
      <c r="O152" s="28">
        <v>335.1</v>
      </c>
      <c r="P152" s="28">
        <v>326.5</v>
      </c>
      <c r="Q152" s="28">
        <v>336.3</v>
      </c>
      <c r="R152" s="28">
        <v>326.5</v>
      </c>
      <c r="S152" s="22">
        <v>13710000</v>
      </c>
      <c r="T152" s="7"/>
    </row>
    <row r="153" spans="1:20" x14ac:dyDescent="0.3">
      <c r="A153" s="8"/>
      <c r="B153" s="10">
        <v>45937</v>
      </c>
      <c r="C153" s="12">
        <v>-1.9E-3</v>
      </c>
      <c r="D153" s="21">
        <v>420.75</v>
      </c>
      <c r="E153" s="21">
        <v>422</v>
      </c>
      <c r="F153" s="21">
        <v>422.65</v>
      </c>
      <c r="G153" s="21">
        <v>414.45</v>
      </c>
      <c r="H153" s="22">
        <v>8630000</v>
      </c>
      <c r="I153" s="17"/>
      <c r="M153" s="10">
        <v>45937</v>
      </c>
      <c r="N153" s="12">
        <v>8.2000000000000007E-3</v>
      </c>
      <c r="O153" s="28">
        <v>337.85</v>
      </c>
      <c r="P153" s="28">
        <v>335.5</v>
      </c>
      <c r="Q153" s="28">
        <v>341.6</v>
      </c>
      <c r="R153" s="28">
        <v>333.2</v>
      </c>
      <c r="S153" s="22">
        <v>19840000</v>
      </c>
      <c r="T153" s="7"/>
    </row>
    <row r="154" spans="1:20" x14ac:dyDescent="0.3">
      <c r="A154" s="8"/>
      <c r="B154" s="10">
        <v>45938</v>
      </c>
      <c r="C154" s="12">
        <v>4.0000000000000002E-4</v>
      </c>
      <c r="D154" s="21">
        <v>420.9</v>
      </c>
      <c r="E154" s="21">
        <v>420</v>
      </c>
      <c r="F154" s="21">
        <v>423.45</v>
      </c>
      <c r="G154" s="21">
        <v>416.5</v>
      </c>
      <c r="H154" s="22">
        <v>4550000</v>
      </c>
      <c r="I154" s="17"/>
      <c r="M154" s="10">
        <v>45938</v>
      </c>
      <c r="N154" s="12">
        <v>1.12E-2</v>
      </c>
      <c r="O154" s="28">
        <v>341.65</v>
      </c>
      <c r="P154" s="28">
        <v>337.65</v>
      </c>
      <c r="Q154" s="28">
        <v>342.9</v>
      </c>
      <c r="R154" s="28">
        <v>336.05</v>
      </c>
      <c r="S154" s="22">
        <v>16800000</v>
      </c>
      <c r="T154" s="7"/>
    </row>
    <row r="155" spans="1:20" x14ac:dyDescent="0.3">
      <c r="A155" s="8"/>
      <c r="B155" s="10">
        <v>45939</v>
      </c>
      <c r="C155" s="12">
        <v>3.7999999999999999E-2</v>
      </c>
      <c r="D155" s="21">
        <v>436.9</v>
      </c>
      <c r="E155" s="21">
        <v>422.8</v>
      </c>
      <c r="F155" s="21">
        <v>437.8</v>
      </c>
      <c r="G155" s="21">
        <v>421.05</v>
      </c>
      <c r="H155" s="22">
        <v>11540000</v>
      </c>
      <c r="I155" s="17"/>
      <c r="M155" s="10">
        <v>45939</v>
      </c>
      <c r="N155" s="12">
        <v>1.1299999999999999E-2</v>
      </c>
      <c r="O155" s="28">
        <v>345.5</v>
      </c>
      <c r="P155" s="28">
        <v>345</v>
      </c>
      <c r="Q155" s="28">
        <v>347.5</v>
      </c>
      <c r="R155" s="28">
        <v>342.9</v>
      </c>
      <c r="S155" s="22">
        <v>23500000</v>
      </c>
      <c r="T155" s="7"/>
    </row>
    <row r="156" spans="1:20" x14ac:dyDescent="0.3">
      <c r="A156" s="8"/>
      <c r="B156" s="10">
        <v>45940</v>
      </c>
      <c r="C156" s="12">
        <v>-3.0999999999999999E-3</v>
      </c>
      <c r="D156" s="21">
        <v>435.55</v>
      </c>
      <c r="E156" s="21">
        <v>436.1</v>
      </c>
      <c r="F156" s="21">
        <v>439</v>
      </c>
      <c r="G156" s="21">
        <v>428.7</v>
      </c>
      <c r="H156" s="22">
        <v>7920000</v>
      </c>
      <c r="I156" s="17"/>
      <c r="M156" s="10">
        <v>45940</v>
      </c>
      <c r="N156" s="12">
        <v>8.0999999999999996E-3</v>
      </c>
      <c r="O156" s="28">
        <v>348.3</v>
      </c>
      <c r="P156" s="28">
        <v>342.55</v>
      </c>
      <c r="Q156" s="28">
        <v>349.9</v>
      </c>
      <c r="R156" s="28">
        <v>341.6</v>
      </c>
      <c r="S156" s="22">
        <v>15970000</v>
      </c>
      <c r="T156" s="7"/>
    </row>
    <row r="157" spans="1:20" x14ac:dyDescent="0.3">
      <c r="A157" s="8"/>
      <c r="B157" s="10">
        <v>45943</v>
      </c>
      <c r="C157" s="12">
        <v>-1.6999999999999999E-3</v>
      </c>
      <c r="D157" s="21">
        <v>434.8</v>
      </c>
      <c r="E157" s="21">
        <v>435</v>
      </c>
      <c r="F157" s="21">
        <v>437.6</v>
      </c>
      <c r="G157" s="21">
        <v>431.3</v>
      </c>
      <c r="H157" s="22">
        <v>7150000</v>
      </c>
      <c r="I157" s="17"/>
      <c r="M157" s="10">
        <v>45943</v>
      </c>
      <c r="N157" s="12">
        <v>1E-4</v>
      </c>
      <c r="O157" s="28">
        <v>348.35</v>
      </c>
      <c r="P157" s="28">
        <v>347.5</v>
      </c>
      <c r="Q157" s="28">
        <v>351.3</v>
      </c>
      <c r="R157" s="28">
        <v>345.4</v>
      </c>
      <c r="S157" s="22">
        <v>14460000</v>
      </c>
      <c r="T157" s="7"/>
    </row>
    <row r="158" spans="1:20" x14ac:dyDescent="0.3">
      <c r="A158" s="8"/>
      <c r="B158" s="10">
        <v>45944</v>
      </c>
      <c r="C158" s="12">
        <v>1.23E-2</v>
      </c>
      <c r="D158" s="21">
        <v>440.15</v>
      </c>
      <c r="E158" s="21">
        <v>435.2</v>
      </c>
      <c r="F158" s="21">
        <v>442</v>
      </c>
      <c r="G158" s="21">
        <v>432.35</v>
      </c>
      <c r="H158" s="22">
        <v>8289999.9999999991</v>
      </c>
      <c r="I158" s="17"/>
      <c r="M158" s="10">
        <v>45944</v>
      </c>
      <c r="N158" s="12">
        <v>-1.6999999999999999E-3</v>
      </c>
      <c r="O158" s="28">
        <v>347.75</v>
      </c>
      <c r="P158" s="28">
        <v>352</v>
      </c>
      <c r="Q158" s="28">
        <v>352</v>
      </c>
      <c r="R158" s="28">
        <v>343</v>
      </c>
      <c r="S158" s="22">
        <v>25160000</v>
      </c>
      <c r="T158" s="7"/>
    </row>
    <row r="159" spans="1:20" x14ac:dyDescent="0.3">
      <c r="A159" s="8"/>
      <c r="B159" s="10">
        <v>45945</v>
      </c>
      <c r="C159" s="12">
        <v>5.7999999999999996E-3</v>
      </c>
      <c r="D159" s="21">
        <v>442.7</v>
      </c>
      <c r="E159" s="21">
        <v>440.4</v>
      </c>
      <c r="F159" s="21">
        <v>443.5</v>
      </c>
      <c r="G159" s="21">
        <v>435.7</v>
      </c>
      <c r="H159" s="22">
        <v>14280000</v>
      </c>
      <c r="I159" s="17"/>
      <c r="M159" s="10">
        <v>45945</v>
      </c>
      <c r="N159" s="12">
        <v>1.9E-2</v>
      </c>
      <c r="O159" s="28">
        <v>354.35</v>
      </c>
      <c r="P159" s="28">
        <v>347.75</v>
      </c>
      <c r="Q159" s="28">
        <v>355.9</v>
      </c>
      <c r="R159" s="28">
        <v>347.35</v>
      </c>
      <c r="S159" s="22">
        <v>30840000</v>
      </c>
      <c r="T159" s="7"/>
    </row>
    <row r="160" spans="1:20" x14ac:dyDescent="0.3">
      <c r="A160" s="8"/>
      <c r="B160" s="10">
        <v>45946</v>
      </c>
      <c r="C160" s="12">
        <v>1.29E-2</v>
      </c>
      <c r="D160" s="21">
        <v>448.4</v>
      </c>
      <c r="E160" s="21">
        <v>444.45</v>
      </c>
      <c r="F160" s="21">
        <v>459.95</v>
      </c>
      <c r="G160" s="21">
        <v>442.75</v>
      </c>
      <c r="H160" s="22">
        <v>24560000</v>
      </c>
      <c r="I160" s="17"/>
      <c r="M160" s="10">
        <v>45946</v>
      </c>
      <c r="N160" s="12">
        <v>-1.83E-2</v>
      </c>
      <c r="O160" s="28">
        <v>347.85</v>
      </c>
      <c r="P160" s="28">
        <v>356</v>
      </c>
      <c r="Q160" s="28">
        <v>368.45</v>
      </c>
      <c r="R160" s="28">
        <v>338</v>
      </c>
      <c r="S160" s="22">
        <v>91190000</v>
      </c>
      <c r="T160" s="7"/>
    </row>
    <row r="161" spans="1:20" x14ac:dyDescent="0.3">
      <c r="A161" s="8"/>
      <c r="B161" s="10">
        <v>45947</v>
      </c>
      <c r="C161" s="12">
        <v>-3.6200000000000003E-2</v>
      </c>
      <c r="D161" s="21">
        <v>432.15</v>
      </c>
      <c r="E161" s="21">
        <v>447</v>
      </c>
      <c r="F161" s="21">
        <v>447</v>
      </c>
      <c r="G161" s="21">
        <v>424.95</v>
      </c>
      <c r="H161" s="22">
        <v>18430000</v>
      </c>
      <c r="I161" s="17"/>
      <c r="M161" s="10">
        <v>45947</v>
      </c>
      <c r="N161" s="12">
        <v>-1.49E-2</v>
      </c>
      <c r="O161" s="28">
        <v>342.65</v>
      </c>
      <c r="P161" s="28">
        <v>340</v>
      </c>
      <c r="Q161" s="28">
        <v>347.75</v>
      </c>
      <c r="R161" s="28">
        <v>333.75</v>
      </c>
      <c r="S161" s="22">
        <v>78000000</v>
      </c>
      <c r="T161" s="7"/>
    </row>
    <row r="162" spans="1:20" x14ac:dyDescent="0.3">
      <c r="A162" s="8"/>
      <c r="B162" s="10">
        <v>45950</v>
      </c>
      <c r="C162" s="12">
        <v>-2.3699999999999999E-2</v>
      </c>
      <c r="D162" s="21">
        <v>421.9</v>
      </c>
      <c r="E162" s="21">
        <v>435</v>
      </c>
      <c r="F162" s="21">
        <v>435.9</v>
      </c>
      <c r="G162" s="21">
        <v>416.1</v>
      </c>
      <c r="H162" s="22">
        <v>13300000</v>
      </c>
      <c r="I162" s="17"/>
      <c r="M162" s="10">
        <v>45950</v>
      </c>
      <c r="N162" s="12">
        <v>-1.3100000000000001E-2</v>
      </c>
      <c r="O162" s="28">
        <v>338.15</v>
      </c>
      <c r="P162" s="28">
        <v>345</v>
      </c>
      <c r="Q162" s="28">
        <v>346.5</v>
      </c>
      <c r="R162" s="28">
        <v>336.25</v>
      </c>
      <c r="S162" s="22">
        <v>25480000</v>
      </c>
      <c r="T162" s="7"/>
    </row>
    <row r="163" spans="1:20" x14ac:dyDescent="0.3">
      <c r="A163" s="8"/>
      <c r="B163" s="10">
        <v>45951</v>
      </c>
      <c r="C163" s="12">
        <v>2.4199999999999999E-2</v>
      </c>
      <c r="D163" s="21">
        <v>432.1</v>
      </c>
      <c r="E163" s="21">
        <v>427</v>
      </c>
      <c r="F163" s="21">
        <v>433.9</v>
      </c>
      <c r="G163" s="21">
        <v>424</v>
      </c>
      <c r="H163" s="22">
        <v>2270000</v>
      </c>
      <c r="I163" s="17"/>
      <c r="M163" s="10">
        <v>45951</v>
      </c>
      <c r="N163" s="12">
        <v>-1E-4</v>
      </c>
      <c r="O163" s="28">
        <v>338.1</v>
      </c>
      <c r="P163" s="28">
        <v>340.1</v>
      </c>
      <c r="Q163" s="28">
        <v>340.8</v>
      </c>
      <c r="R163" s="28">
        <v>337.2</v>
      </c>
      <c r="S163" s="22">
        <v>3820000</v>
      </c>
      <c r="T163" s="7"/>
    </row>
    <row r="164" spans="1:20" x14ac:dyDescent="0.3">
      <c r="A164" s="8"/>
      <c r="B164" s="10">
        <v>45953</v>
      </c>
      <c r="C164" s="12">
        <v>-1.8100000000000002E-2</v>
      </c>
      <c r="D164" s="21">
        <v>424.3</v>
      </c>
      <c r="E164" s="21">
        <v>432.1</v>
      </c>
      <c r="F164" s="21">
        <v>433.05</v>
      </c>
      <c r="G164" s="21">
        <v>423</v>
      </c>
      <c r="H164" s="22">
        <v>7860000</v>
      </c>
      <c r="I164" s="17"/>
      <c r="M164" s="10">
        <v>45953</v>
      </c>
      <c r="N164" s="12">
        <v>-2.8799999999999999E-2</v>
      </c>
      <c r="O164" s="28">
        <v>328.35</v>
      </c>
      <c r="P164" s="28">
        <v>343</v>
      </c>
      <c r="Q164" s="28">
        <v>343</v>
      </c>
      <c r="R164" s="28">
        <v>327</v>
      </c>
      <c r="S164" s="22">
        <v>54280000</v>
      </c>
      <c r="T164" s="7"/>
    </row>
    <row r="165" spans="1:20" x14ac:dyDescent="0.3">
      <c r="A165" s="8"/>
      <c r="B165" s="10">
        <v>45954</v>
      </c>
      <c r="C165" s="12">
        <v>1.4E-3</v>
      </c>
      <c r="D165" s="21">
        <v>424.9</v>
      </c>
      <c r="E165" s="21">
        <v>426</v>
      </c>
      <c r="F165" s="21">
        <v>430.2</v>
      </c>
      <c r="G165" s="21">
        <v>423</v>
      </c>
      <c r="H165" s="22">
        <v>4340000</v>
      </c>
      <c r="I165" s="17"/>
      <c r="M165" s="10">
        <v>45954</v>
      </c>
      <c r="N165" s="12">
        <v>-5.3E-3</v>
      </c>
      <c r="O165" s="28">
        <v>326.60000000000002</v>
      </c>
      <c r="P165" s="28">
        <v>328</v>
      </c>
      <c r="Q165" s="28">
        <v>329.85</v>
      </c>
      <c r="R165" s="28">
        <v>324.35000000000002</v>
      </c>
      <c r="S165" s="22">
        <v>35570000</v>
      </c>
      <c r="T165" s="7"/>
    </row>
    <row r="166" spans="1:20" x14ac:dyDescent="0.3">
      <c r="A166" s="8"/>
      <c r="B166" s="10">
        <v>45957</v>
      </c>
      <c r="C166" s="12">
        <v>1.8E-3</v>
      </c>
      <c r="D166" s="21">
        <v>425.65</v>
      </c>
      <c r="E166" s="21">
        <v>425.95</v>
      </c>
      <c r="F166" s="21">
        <v>427.35</v>
      </c>
      <c r="G166" s="21">
        <v>420.3</v>
      </c>
      <c r="H166" s="22">
        <v>3890000</v>
      </c>
      <c r="I166" s="17"/>
      <c r="M166" s="10">
        <v>45957</v>
      </c>
      <c r="N166" s="12">
        <v>2.1700000000000001E-2</v>
      </c>
      <c r="O166" s="28">
        <v>333.7</v>
      </c>
      <c r="P166" s="28">
        <v>326.2</v>
      </c>
      <c r="Q166" s="28">
        <v>334.9</v>
      </c>
      <c r="R166" s="28">
        <v>324.60000000000002</v>
      </c>
      <c r="S166" s="22">
        <v>27700000</v>
      </c>
      <c r="T166" s="7"/>
    </row>
    <row r="167" spans="1:20" x14ac:dyDescent="0.3">
      <c r="A167" s="8"/>
      <c r="B167" s="10">
        <v>45958</v>
      </c>
      <c r="C167" s="12">
        <v>-8.3000000000000001E-3</v>
      </c>
      <c r="D167" s="21">
        <v>422.1</v>
      </c>
      <c r="E167" s="21">
        <v>427.7</v>
      </c>
      <c r="F167" s="21">
        <v>429</v>
      </c>
      <c r="G167" s="21">
        <v>419.15</v>
      </c>
      <c r="H167" s="22">
        <v>4360000</v>
      </c>
      <c r="I167" s="17"/>
      <c r="M167" s="10">
        <v>45958</v>
      </c>
      <c r="N167" s="12">
        <v>2.7000000000000001E-3</v>
      </c>
      <c r="O167" s="28">
        <v>334.6</v>
      </c>
      <c r="P167" s="28">
        <v>332.75</v>
      </c>
      <c r="Q167" s="28">
        <v>336.2</v>
      </c>
      <c r="R167" s="28">
        <v>332.15</v>
      </c>
      <c r="S167" s="22">
        <v>28720000</v>
      </c>
      <c r="T167" s="7"/>
    </row>
    <row r="168" spans="1:20" x14ac:dyDescent="0.3">
      <c r="A168" s="8"/>
      <c r="B168" s="10">
        <v>45959</v>
      </c>
      <c r="C168" s="12">
        <v>-7.4999999999999997E-3</v>
      </c>
      <c r="D168" s="21">
        <v>418.95</v>
      </c>
      <c r="E168" s="21">
        <v>423.25</v>
      </c>
      <c r="F168" s="21">
        <v>426.6</v>
      </c>
      <c r="G168" s="21">
        <v>417.65</v>
      </c>
      <c r="H168" s="22">
        <v>3270000</v>
      </c>
      <c r="I168" s="17"/>
      <c r="M168" s="10">
        <v>45959</v>
      </c>
      <c r="N168" s="12">
        <v>-1.24E-2</v>
      </c>
      <c r="O168" s="28">
        <v>330.45</v>
      </c>
      <c r="P168" s="28">
        <v>333.55</v>
      </c>
      <c r="Q168" s="28">
        <v>335.5</v>
      </c>
      <c r="R168" s="28">
        <v>328.75</v>
      </c>
      <c r="S168" s="22">
        <v>19680000</v>
      </c>
      <c r="T168" s="7"/>
    </row>
    <row r="169" spans="1:20" x14ac:dyDescent="0.3">
      <c r="A169" s="8"/>
      <c r="B169" s="10">
        <v>45960</v>
      </c>
      <c r="C169" s="12">
        <v>-2.3999999999999998E-3</v>
      </c>
      <c r="D169" s="21">
        <v>417.95</v>
      </c>
      <c r="E169" s="21">
        <v>419.95</v>
      </c>
      <c r="F169" s="21">
        <v>422.5</v>
      </c>
      <c r="G169" s="21">
        <v>413.5</v>
      </c>
      <c r="H169" s="22">
        <v>4120000</v>
      </c>
      <c r="I169" s="17"/>
      <c r="M169" s="10">
        <v>45960</v>
      </c>
      <c r="N169" s="12">
        <v>-3.3E-3</v>
      </c>
      <c r="O169" s="28">
        <v>329.35</v>
      </c>
      <c r="P169" s="28">
        <v>328</v>
      </c>
      <c r="Q169" s="28">
        <v>332.25</v>
      </c>
      <c r="R169" s="28">
        <v>325.5</v>
      </c>
      <c r="S169" s="22">
        <v>19800000</v>
      </c>
      <c r="T169" s="7"/>
    </row>
    <row r="170" spans="1:20" x14ac:dyDescent="0.3">
      <c r="A170" s="8"/>
      <c r="B170" s="10">
        <v>45961</v>
      </c>
      <c r="C170" s="12">
        <v>-1.9099999999999999E-2</v>
      </c>
      <c r="D170" s="21">
        <v>409.95</v>
      </c>
      <c r="E170" s="21">
        <v>430</v>
      </c>
      <c r="F170" s="21">
        <v>434</v>
      </c>
      <c r="G170" s="21">
        <v>407.1</v>
      </c>
      <c r="H170" s="22">
        <v>19550000</v>
      </c>
      <c r="I170" s="17"/>
      <c r="M170" s="10">
        <v>45961</v>
      </c>
      <c r="N170" s="12">
        <v>-3.5200000000000002E-2</v>
      </c>
      <c r="O170" s="28">
        <v>317.75</v>
      </c>
      <c r="P170" s="28">
        <v>329.95</v>
      </c>
      <c r="Q170" s="28">
        <v>330.3</v>
      </c>
      <c r="R170" s="28">
        <v>316.64999999999998</v>
      </c>
      <c r="S170" s="22">
        <v>34240000</v>
      </c>
      <c r="T170" s="7"/>
    </row>
    <row r="171" spans="1:20" x14ac:dyDescent="0.3">
      <c r="A171" s="8"/>
      <c r="B171" s="10">
        <v>45964</v>
      </c>
      <c r="C171" s="12">
        <v>-1.83E-2</v>
      </c>
      <c r="D171" s="21">
        <v>402.45</v>
      </c>
      <c r="E171" s="21">
        <v>409.8</v>
      </c>
      <c r="F171" s="21">
        <v>409.8</v>
      </c>
      <c r="G171" s="21">
        <v>401.4</v>
      </c>
      <c r="H171" s="22">
        <v>4900000</v>
      </c>
      <c r="I171" s="17"/>
      <c r="M171" s="10">
        <v>45964</v>
      </c>
      <c r="N171" s="12">
        <v>1.5299999999999999E-2</v>
      </c>
      <c r="O171" s="28">
        <v>322.60000000000002</v>
      </c>
      <c r="P171" s="28">
        <v>316.45</v>
      </c>
      <c r="Q171" s="28">
        <v>323.60000000000002</v>
      </c>
      <c r="R171" s="28">
        <v>313.25</v>
      </c>
      <c r="S171" s="22">
        <v>33549999.999999996</v>
      </c>
      <c r="T171" s="7"/>
    </row>
    <row r="172" spans="1:20" x14ac:dyDescent="0.3">
      <c r="A172" s="8"/>
      <c r="B172" s="10">
        <v>45965</v>
      </c>
      <c r="C172" s="12">
        <v>2.7099999999999999E-2</v>
      </c>
      <c r="D172" s="21">
        <v>413.35</v>
      </c>
      <c r="E172" s="21">
        <v>405</v>
      </c>
      <c r="F172" s="21">
        <v>415.45</v>
      </c>
      <c r="G172" s="21">
        <v>402.3</v>
      </c>
      <c r="H172" s="22">
        <v>9480000</v>
      </c>
      <c r="I172" s="17"/>
      <c r="M172" s="10">
        <v>45965</v>
      </c>
      <c r="N172" s="12">
        <v>-2.8199999999999999E-2</v>
      </c>
      <c r="O172" s="28">
        <v>313.5</v>
      </c>
      <c r="P172" s="28">
        <v>321.05</v>
      </c>
      <c r="Q172" s="28">
        <v>321.95</v>
      </c>
      <c r="R172" s="28">
        <v>312.3</v>
      </c>
      <c r="S172" s="22">
        <v>35400000</v>
      </c>
      <c r="T172" s="7"/>
    </row>
    <row r="173" spans="1:20" x14ac:dyDescent="0.3">
      <c r="A173" s="8"/>
      <c r="B173" s="10">
        <v>45967</v>
      </c>
      <c r="C173" s="12">
        <v>-2.2700000000000001E-2</v>
      </c>
      <c r="D173" s="21">
        <v>403.95</v>
      </c>
      <c r="E173" s="21">
        <v>412.65</v>
      </c>
      <c r="F173" s="21">
        <v>413</v>
      </c>
      <c r="G173" s="21">
        <v>402.6</v>
      </c>
      <c r="H173" s="22">
        <v>5530000</v>
      </c>
      <c r="I173" s="17"/>
      <c r="M173" s="10">
        <v>45967</v>
      </c>
      <c r="N173" s="12">
        <v>-2.5000000000000001E-2</v>
      </c>
      <c r="O173" s="28">
        <v>305.64999999999998</v>
      </c>
      <c r="P173" s="28">
        <v>308.5</v>
      </c>
      <c r="Q173" s="28">
        <v>311.64999999999998</v>
      </c>
      <c r="R173" s="28">
        <v>303.55</v>
      </c>
      <c r="S173" s="22">
        <v>44730000</v>
      </c>
      <c r="T173" s="7"/>
    </row>
    <row r="174" spans="1:20" x14ac:dyDescent="0.3">
      <c r="A174" s="8"/>
      <c r="B174" s="10">
        <v>45968</v>
      </c>
      <c r="C174" s="12">
        <v>-6.3E-3</v>
      </c>
      <c r="D174" s="21">
        <v>401.4</v>
      </c>
      <c r="E174" s="21">
        <v>399.95</v>
      </c>
      <c r="F174" s="21">
        <v>408.8</v>
      </c>
      <c r="G174" s="21">
        <v>395.65</v>
      </c>
      <c r="H174" s="22">
        <v>5020000</v>
      </c>
      <c r="I174" s="17"/>
      <c r="M174" s="10">
        <v>45968</v>
      </c>
      <c r="N174" s="12">
        <v>1.5E-3</v>
      </c>
      <c r="O174" s="28">
        <v>306.10000000000002</v>
      </c>
      <c r="P174" s="28">
        <v>305.95</v>
      </c>
      <c r="Q174" s="28">
        <v>309.10000000000002</v>
      </c>
      <c r="R174" s="28">
        <v>301.45</v>
      </c>
      <c r="S174" s="22">
        <v>26910000</v>
      </c>
      <c r="T174" s="7"/>
    </row>
    <row r="175" spans="1:20" x14ac:dyDescent="0.3">
      <c r="A175" s="8"/>
      <c r="B175" s="10">
        <v>45971</v>
      </c>
      <c r="C175" s="12">
        <v>-3.5999999999999997E-2</v>
      </c>
      <c r="D175" s="21">
        <v>386.95</v>
      </c>
      <c r="E175" s="21">
        <v>404</v>
      </c>
      <c r="F175" s="21">
        <v>411.4</v>
      </c>
      <c r="G175" s="21">
        <v>380</v>
      </c>
      <c r="H175" s="22">
        <v>11130000</v>
      </c>
      <c r="I175" s="17"/>
      <c r="M175" s="10">
        <v>45971</v>
      </c>
      <c r="N175" s="12">
        <v>-1.52E-2</v>
      </c>
      <c r="O175" s="28">
        <v>301.45</v>
      </c>
      <c r="P175" s="28">
        <v>304.25</v>
      </c>
      <c r="Q175" s="28">
        <v>308.55</v>
      </c>
      <c r="R175" s="28">
        <v>300.8</v>
      </c>
      <c r="S175" s="22">
        <v>33920000</v>
      </c>
      <c r="T175" s="7"/>
    </row>
    <row r="176" spans="1:20" x14ac:dyDescent="0.3">
      <c r="A176" s="8"/>
      <c r="B176" s="10">
        <v>45972</v>
      </c>
      <c r="C176" s="12">
        <v>1.89E-2</v>
      </c>
      <c r="D176" s="21">
        <v>394.25</v>
      </c>
      <c r="E176" s="21">
        <v>387.9</v>
      </c>
      <c r="F176" s="21">
        <v>396.1</v>
      </c>
      <c r="G176" s="21">
        <v>377</v>
      </c>
      <c r="H176" s="22">
        <v>10570000</v>
      </c>
      <c r="I176" s="17"/>
      <c r="M176" s="10">
        <v>45972</v>
      </c>
      <c r="N176" s="12">
        <v>1.44E-2</v>
      </c>
      <c r="O176" s="28">
        <v>305.8</v>
      </c>
      <c r="P176" s="28">
        <v>302.95</v>
      </c>
      <c r="Q176" s="28">
        <v>307.75</v>
      </c>
      <c r="R176" s="28">
        <v>300.14999999999998</v>
      </c>
      <c r="S176" s="22">
        <v>35820000</v>
      </c>
      <c r="T176" s="7"/>
    </row>
    <row r="177" spans="1:20" x14ac:dyDescent="0.3">
      <c r="A177" s="8"/>
      <c r="B177" s="10">
        <v>45973</v>
      </c>
      <c r="C177" s="12">
        <v>3.8E-3</v>
      </c>
      <c r="D177" s="21">
        <v>395.75</v>
      </c>
      <c r="E177" s="21">
        <v>395.75</v>
      </c>
      <c r="F177" s="21">
        <v>398</v>
      </c>
      <c r="G177" s="21">
        <v>390.8</v>
      </c>
      <c r="H177" s="22">
        <v>3240000</v>
      </c>
      <c r="I177" s="17"/>
      <c r="M177" s="10">
        <v>45973</v>
      </c>
      <c r="N177" s="12">
        <v>9.7999999999999997E-3</v>
      </c>
      <c r="O177" s="28">
        <v>308.8</v>
      </c>
      <c r="P177" s="28">
        <v>308</v>
      </c>
      <c r="Q177" s="28">
        <v>312.95</v>
      </c>
      <c r="R177" s="28">
        <v>307.35000000000002</v>
      </c>
      <c r="S177" s="22">
        <v>43770000</v>
      </c>
      <c r="T177" s="7"/>
    </row>
    <row r="178" spans="1:20" x14ac:dyDescent="0.3">
      <c r="A178" s="8"/>
      <c r="B178" s="10">
        <v>45974</v>
      </c>
      <c r="C178" s="12">
        <v>-3.2000000000000001E-2</v>
      </c>
      <c r="D178" s="21">
        <v>383.1</v>
      </c>
      <c r="E178" s="21">
        <v>397</v>
      </c>
      <c r="F178" s="21">
        <v>397.9</v>
      </c>
      <c r="G178" s="21">
        <v>382.2</v>
      </c>
      <c r="H178" s="22">
        <v>6100000</v>
      </c>
      <c r="I178" s="17"/>
      <c r="M178" s="10">
        <v>45974</v>
      </c>
      <c r="N178" s="12">
        <v>-3.5799999999999998E-2</v>
      </c>
      <c r="O178" s="28">
        <v>297.75</v>
      </c>
      <c r="P178" s="28">
        <v>308.64999999999998</v>
      </c>
      <c r="Q178" s="28">
        <v>309.35000000000002</v>
      </c>
      <c r="R178" s="28">
        <v>296.60000000000002</v>
      </c>
      <c r="S178" s="22">
        <v>63590000</v>
      </c>
      <c r="T178" s="7"/>
    </row>
    <row r="179" spans="1:20" x14ac:dyDescent="0.3">
      <c r="A179" s="8"/>
      <c r="B179" s="10">
        <v>45975</v>
      </c>
      <c r="C179" s="12">
        <v>2.6100000000000002E-2</v>
      </c>
      <c r="D179" s="21">
        <v>393.1</v>
      </c>
      <c r="E179" s="21">
        <v>380</v>
      </c>
      <c r="F179" s="21">
        <v>395</v>
      </c>
      <c r="G179" s="21">
        <v>379.6</v>
      </c>
      <c r="H179" s="22">
        <v>7600000</v>
      </c>
      <c r="I179" s="17"/>
      <c r="M179" s="10">
        <v>45975</v>
      </c>
      <c r="N179" s="12">
        <v>2.0199999999999999E-2</v>
      </c>
      <c r="O179" s="28">
        <v>303.75</v>
      </c>
      <c r="P179" s="28">
        <v>295</v>
      </c>
      <c r="Q179" s="28">
        <v>305.25</v>
      </c>
      <c r="R179" s="28">
        <v>294.75</v>
      </c>
      <c r="S179" s="22">
        <v>37380000</v>
      </c>
      <c r="T179" s="7"/>
    </row>
    <row r="180" spans="1:20" x14ac:dyDescent="0.3">
      <c r="A180" s="8"/>
      <c r="B180" s="10">
        <v>45978</v>
      </c>
      <c r="C180" s="12">
        <v>4.3E-3</v>
      </c>
      <c r="D180" s="21">
        <v>394.8</v>
      </c>
      <c r="E180" s="21">
        <v>395</v>
      </c>
      <c r="F180" s="21">
        <v>397.2</v>
      </c>
      <c r="G180" s="21">
        <v>384.3</v>
      </c>
      <c r="H180" s="22">
        <v>6430000</v>
      </c>
      <c r="I180" s="17"/>
      <c r="M180" s="10">
        <v>45978</v>
      </c>
      <c r="N180" s="12">
        <v>1.9099999999999999E-2</v>
      </c>
      <c r="O180" s="28">
        <v>309.55</v>
      </c>
      <c r="P180" s="28">
        <v>303.10000000000002</v>
      </c>
      <c r="Q180" s="28">
        <v>309.85000000000002</v>
      </c>
      <c r="R180" s="28">
        <v>300.55</v>
      </c>
      <c r="S180" s="22">
        <v>26630000</v>
      </c>
      <c r="T180" s="7"/>
    </row>
    <row r="181" spans="1:20" x14ac:dyDescent="0.3">
      <c r="A181" s="8"/>
      <c r="B181" s="10">
        <v>45979</v>
      </c>
      <c r="C181" s="12">
        <v>-3.7000000000000002E-3</v>
      </c>
      <c r="D181" s="21">
        <v>393.35</v>
      </c>
      <c r="E181" s="21">
        <v>396</v>
      </c>
      <c r="F181" s="21">
        <v>401.8</v>
      </c>
      <c r="G181" s="21">
        <v>392.55</v>
      </c>
      <c r="H181" s="22">
        <v>3570000</v>
      </c>
      <c r="I181" s="17"/>
      <c r="M181" s="10">
        <v>45979</v>
      </c>
      <c r="N181" s="12">
        <v>-1.0999999999999999E-2</v>
      </c>
      <c r="O181" s="28">
        <v>306.14999999999998</v>
      </c>
      <c r="P181" s="28">
        <v>312</v>
      </c>
      <c r="Q181" s="28">
        <v>313</v>
      </c>
      <c r="R181" s="28">
        <v>304.5</v>
      </c>
      <c r="S181" s="22">
        <v>24990000</v>
      </c>
      <c r="T181" s="7"/>
    </row>
    <row r="182" spans="1:20" x14ac:dyDescent="0.3">
      <c r="A182" s="8"/>
      <c r="B182" s="10">
        <v>45980</v>
      </c>
      <c r="C182" s="12">
        <v>9.2999999999999992E-3</v>
      </c>
      <c r="D182" s="21">
        <v>397</v>
      </c>
      <c r="E182" s="21">
        <v>394.2</v>
      </c>
      <c r="F182" s="21">
        <v>398.8</v>
      </c>
      <c r="G182" s="21">
        <v>393.5</v>
      </c>
      <c r="H182" s="22">
        <v>2140000</v>
      </c>
      <c r="I182" s="17"/>
      <c r="M182" s="10">
        <v>45980</v>
      </c>
      <c r="N182" s="12">
        <v>1.5E-3</v>
      </c>
      <c r="O182" s="28">
        <v>306.60000000000002</v>
      </c>
      <c r="P182" s="28">
        <v>305</v>
      </c>
      <c r="Q182" s="28">
        <v>308.10000000000002</v>
      </c>
      <c r="R182" s="28">
        <v>302.60000000000002</v>
      </c>
      <c r="S182" s="22">
        <v>15530000</v>
      </c>
      <c r="T182" s="7"/>
    </row>
    <row r="183" spans="1:20" x14ac:dyDescent="0.3">
      <c r="A183" s="8"/>
      <c r="B183" s="10">
        <v>45981</v>
      </c>
      <c r="C183" s="12">
        <v>-3.8E-3</v>
      </c>
      <c r="D183" s="21">
        <v>395.5</v>
      </c>
      <c r="E183" s="21">
        <v>397</v>
      </c>
      <c r="F183" s="21">
        <v>402.9</v>
      </c>
      <c r="G183" s="21">
        <v>393.7</v>
      </c>
      <c r="H183" s="22">
        <v>3580000</v>
      </c>
      <c r="I183" s="17"/>
      <c r="M183" s="10">
        <v>45981</v>
      </c>
      <c r="N183" s="12">
        <v>1E-3</v>
      </c>
      <c r="O183" s="28">
        <v>306.89999999999998</v>
      </c>
      <c r="P183" s="28">
        <v>308.5</v>
      </c>
      <c r="Q183" s="28">
        <v>308.64999999999998</v>
      </c>
      <c r="R183" s="28">
        <v>304.60000000000002</v>
      </c>
      <c r="S183" s="22">
        <v>13520000</v>
      </c>
      <c r="T183" s="7"/>
    </row>
    <row r="184" spans="1:20" x14ac:dyDescent="0.3">
      <c r="A184" s="8"/>
      <c r="B184" s="10">
        <v>45982</v>
      </c>
      <c r="C184" s="12">
        <v>-2.5399999999999999E-2</v>
      </c>
      <c r="D184" s="21">
        <v>385.45</v>
      </c>
      <c r="E184" s="21">
        <v>395.5</v>
      </c>
      <c r="F184" s="21">
        <v>396.45</v>
      </c>
      <c r="G184" s="21">
        <v>383.85</v>
      </c>
      <c r="H184" s="22">
        <v>3380000</v>
      </c>
      <c r="I184" s="17"/>
      <c r="M184" s="10">
        <v>45982</v>
      </c>
      <c r="N184" s="12">
        <v>-1.61E-2</v>
      </c>
      <c r="O184" s="28">
        <v>301.95</v>
      </c>
      <c r="P184" s="28">
        <v>304.95</v>
      </c>
      <c r="Q184" s="28">
        <v>305.95</v>
      </c>
      <c r="R184" s="28">
        <v>301</v>
      </c>
      <c r="S184" s="22">
        <v>13730000</v>
      </c>
      <c r="T184" s="7"/>
    </row>
    <row r="185" spans="1:20" x14ac:dyDescent="0.3">
      <c r="A185" s="8"/>
      <c r="B185" s="10">
        <v>45985</v>
      </c>
      <c r="C185" s="12">
        <v>4.9700000000000001E-2</v>
      </c>
      <c r="D185" s="21">
        <v>404.6</v>
      </c>
      <c r="E185" s="21">
        <v>380.3</v>
      </c>
      <c r="F185" s="21">
        <v>410.7</v>
      </c>
      <c r="G185" s="21">
        <v>378</v>
      </c>
      <c r="H185" s="22">
        <v>22450000</v>
      </c>
      <c r="I185" s="17"/>
      <c r="M185" s="10">
        <v>45985</v>
      </c>
      <c r="N185" s="12">
        <v>-3.0999999999999999E-3</v>
      </c>
      <c r="O185" s="28">
        <v>301</v>
      </c>
      <c r="P185" s="28">
        <v>296.5</v>
      </c>
      <c r="Q185" s="28">
        <v>304.25</v>
      </c>
      <c r="R185" s="28">
        <v>295.60000000000002</v>
      </c>
      <c r="S185" s="22">
        <v>42520000</v>
      </c>
      <c r="T185" s="7"/>
    </row>
    <row r="186" spans="1:20" x14ac:dyDescent="0.3">
      <c r="A186" s="8"/>
      <c r="B186" s="10">
        <v>45986</v>
      </c>
      <c r="C186" s="12">
        <v>-2.47E-2</v>
      </c>
      <c r="D186" s="21">
        <v>394.6</v>
      </c>
      <c r="E186" s="21">
        <v>402</v>
      </c>
      <c r="F186" s="21">
        <v>402.9</v>
      </c>
      <c r="G186" s="21">
        <v>390</v>
      </c>
      <c r="H186" s="22">
        <v>4670000</v>
      </c>
      <c r="I186" s="17"/>
      <c r="M186" s="10">
        <v>45986</v>
      </c>
      <c r="N186" s="12">
        <v>4.3E-3</v>
      </c>
      <c r="O186" s="28">
        <v>302.3</v>
      </c>
      <c r="P186" s="28">
        <v>303</v>
      </c>
      <c r="Q186" s="28">
        <v>305.95</v>
      </c>
      <c r="R186" s="28">
        <v>300.5</v>
      </c>
      <c r="S186" s="22">
        <v>19300000</v>
      </c>
      <c r="T186" s="7"/>
    </row>
    <row r="187" spans="1:20" x14ac:dyDescent="0.3">
      <c r="A187" s="8"/>
      <c r="B187" s="10">
        <v>45987</v>
      </c>
      <c r="C187" s="12">
        <v>-5.5999999999999999E-3</v>
      </c>
      <c r="D187" s="21">
        <v>392.4</v>
      </c>
      <c r="E187" s="21">
        <v>393.25</v>
      </c>
      <c r="F187" s="21">
        <v>396.5</v>
      </c>
      <c r="G187" s="21">
        <v>390.4</v>
      </c>
      <c r="H187" s="22">
        <v>2720000</v>
      </c>
      <c r="I187" s="17"/>
      <c r="M187" s="10">
        <v>45987</v>
      </c>
      <c r="N187" s="12">
        <v>1.5100000000000001E-2</v>
      </c>
      <c r="O187" s="28">
        <v>306.85000000000002</v>
      </c>
      <c r="P187" s="28">
        <v>300.3</v>
      </c>
      <c r="Q187" s="28">
        <v>307.14999999999998</v>
      </c>
      <c r="R187" s="28">
        <v>300.3</v>
      </c>
      <c r="S187" s="22">
        <v>14490000</v>
      </c>
      <c r="T187" s="7"/>
    </row>
    <row r="188" spans="1:20" x14ac:dyDescent="0.3">
      <c r="A188" s="8"/>
      <c r="B188" s="10">
        <v>45988</v>
      </c>
      <c r="C188" s="12">
        <v>-1.47E-2</v>
      </c>
      <c r="D188" s="21">
        <v>386.65</v>
      </c>
      <c r="E188" s="21">
        <v>392.45</v>
      </c>
      <c r="F188" s="21">
        <v>394.4</v>
      </c>
      <c r="G188" s="21">
        <v>385.25</v>
      </c>
      <c r="H188" s="22">
        <v>2320000</v>
      </c>
      <c r="I188" s="17"/>
      <c r="M188" s="10">
        <v>45988</v>
      </c>
      <c r="N188" s="12">
        <v>-1.34E-2</v>
      </c>
      <c r="O188" s="28">
        <v>302.75</v>
      </c>
      <c r="P188" s="28">
        <v>308</v>
      </c>
      <c r="Q188" s="28">
        <v>308.7</v>
      </c>
      <c r="R188" s="28">
        <v>300.55</v>
      </c>
      <c r="S188" s="22">
        <v>22600000</v>
      </c>
      <c r="T188" s="7"/>
    </row>
    <row r="189" spans="1:20" x14ac:dyDescent="0.3">
      <c r="A189" s="8"/>
      <c r="B189" s="10">
        <v>45989</v>
      </c>
      <c r="C189" s="12">
        <v>-2.1600000000000001E-2</v>
      </c>
      <c r="D189" s="21">
        <v>378.3</v>
      </c>
      <c r="E189" s="21">
        <v>386.65</v>
      </c>
      <c r="F189" s="21">
        <v>387.25</v>
      </c>
      <c r="G189" s="21">
        <v>376.9</v>
      </c>
      <c r="H189" s="22">
        <v>4710000</v>
      </c>
      <c r="I189" s="17"/>
      <c r="M189" s="10">
        <v>45989</v>
      </c>
      <c r="N189" s="12">
        <v>-8.8000000000000005E-3</v>
      </c>
      <c r="O189" s="28">
        <v>300.10000000000002</v>
      </c>
      <c r="P189" s="28">
        <v>303</v>
      </c>
      <c r="Q189" s="28">
        <v>304.8</v>
      </c>
      <c r="R189" s="28">
        <v>299.64999999999998</v>
      </c>
      <c r="S189" s="22">
        <v>17680000</v>
      </c>
      <c r="T189" s="7"/>
    </row>
    <row r="190" spans="1:20" x14ac:dyDescent="0.3">
      <c r="A190" s="8"/>
      <c r="B190" s="10">
        <v>45992</v>
      </c>
      <c r="C190" s="12">
        <v>2.7400000000000001E-2</v>
      </c>
      <c r="D190" s="21">
        <v>388.65</v>
      </c>
      <c r="E190" s="21">
        <v>380</v>
      </c>
      <c r="F190" s="21">
        <v>391.75</v>
      </c>
      <c r="G190" s="21">
        <v>378.5</v>
      </c>
      <c r="H190" s="22">
        <v>5480000</v>
      </c>
      <c r="I190" s="17"/>
      <c r="M190" s="10">
        <v>45992</v>
      </c>
      <c r="N190" s="12">
        <v>4.7000000000000002E-3</v>
      </c>
      <c r="O190" s="28">
        <v>301.5</v>
      </c>
      <c r="P190" s="28">
        <v>302.3</v>
      </c>
      <c r="Q190" s="28">
        <v>305.45</v>
      </c>
      <c r="R190" s="28">
        <v>300.25</v>
      </c>
      <c r="S190" s="22">
        <v>17930000</v>
      </c>
      <c r="T190" s="7"/>
    </row>
    <row r="191" spans="1:20" x14ac:dyDescent="0.3">
      <c r="A191" s="8"/>
      <c r="B191" s="10">
        <v>45993</v>
      </c>
      <c r="C191" s="12">
        <v>2.7699999999999999E-2</v>
      </c>
      <c r="D191" s="21">
        <v>399.4</v>
      </c>
      <c r="E191" s="21">
        <v>389.1</v>
      </c>
      <c r="F191" s="21">
        <v>402.5</v>
      </c>
      <c r="G191" s="21">
        <v>388</v>
      </c>
      <c r="H191" s="22">
        <v>7630000</v>
      </c>
      <c r="I191" s="17"/>
      <c r="M191" s="10">
        <v>45993</v>
      </c>
      <c r="N191" s="12">
        <v>-3.2000000000000002E-3</v>
      </c>
      <c r="O191" s="28">
        <v>300.55</v>
      </c>
      <c r="P191" s="28">
        <v>300.60000000000002</v>
      </c>
      <c r="Q191" s="28">
        <v>301.8</v>
      </c>
      <c r="R191" s="28">
        <v>297</v>
      </c>
      <c r="S191" s="22">
        <v>23520000</v>
      </c>
      <c r="T191" s="7"/>
    </row>
    <row r="192" spans="1:20" x14ac:dyDescent="0.3">
      <c r="A192" s="8"/>
      <c r="B192" s="10">
        <v>45994</v>
      </c>
      <c r="C192" s="12">
        <v>9.5999999999999992E-3</v>
      </c>
      <c r="D192" s="21">
        <v>403.25</v>
      </c>
      <c r="E192" s="21">
        <v>395.7</v>
      </c>
      <c r="F192" s="21">
        <v>405.5</v>
      </c>
      <c r="G192" s="21">
        <v>395.05</v>
      </c>
      <c r="H192" s="22">
        <v>6940000</v>
      </c>
      <c r="I192" s="17"/>
      <c r="M192" s="10">
        <v>45994</v>
      </c>
      <c r="N192" s="12">
        <v>-9.2999999999999992E-3</v>
      </c>
      <c r="O192" s="28">
        <v>297.75</v>
      </c>
      <c r="P192" s="28">
        <v>300.60000000000002</v>
      </c>
      <c r="Q192" s="28">
        <v>302.95</v>
      </c>
      <c r="R192" s="28">
        <v>296</v>
      </c>
      <c r="S192" s="22">
        <v>18550000</v>
      </c>
      <c r="T192" s="7"/>
    </row>
    <row r="193" spans="1:20" x14ac:dyDescent="0.3">
      <c r="A193" s="8"/>
      <c r="B193" s="10">
        <v>45995</v>
      </c>
      <c r="C193" s="12">
        <v>-4.1999999999999997E-3</v>
      </c>
      <c r="D193" s="21">
        <v>401.55</v>
      </c>
      <c r="E193" s="21">
        <v>400</v>
      </c>
      <c r="F193" s="21">
        <v>406.65</v>
      </c>
      <c r="G193" s="21">
        <v>398.15</v>
      </c>
      <c r="H193" s="22">
        <v>4480000</v>
      </c>
      <c r="I193" s="17"/>
      <c r="M193" s="10">
        <v>45995</v>
      </c>
      <c r="N193" s="12">
        <v>-6.7000000000000002E-3</v>
      </c>
      <c r="O193" s="28">
        <v>295.75</v>
      </c>
      <c r="P193" s="28">
        <v>297.60000000000002</v>
      </c>
      <c r="Q193" s="28">
        <v>298.75</v>
      </c>
      <c r="R193" s="28">
        <v>292.55</v>
      </c>
      <c r="S193" s="22">
        <v>31950000</v>
      </c>
      <c r="T193" s="7"/>
    </row>
    <row r="194" spans="1:20" x14ac:dyDescent="0.3">
      <c r="A194" s="8"/>
      <c r="B194" s="10">
        <v>45996</v>
      </c>
      <c r="C194" s="12">
        <v>-1.78E-2</v>
      </c>
      <c r="D194" s="21">
        <v>394.4</v>
      </c>
      <c r="E194" s="21">
        <v>397.55</v>
      </c>
      <c r="F194" s="21">
        <v>404.9</v>
      </c>
      <c r="G194" s="21">
        <v>393.1</v>
      </c>
      <c r="H194" s="22">
        <v>3230000</v>
      </c>
      <c r="I194" s="17"/>
      <c r="M194" s="10">
        <v>45996</v>
      </c>
      <c r="N194" s="12">
        <v>-1.1299999999999999E-2</v>
      </c>
      <c r="O194" s="28">
        <v>292.39999999999998</v>
      </c>
      <c r="P194" s="28">
        <v>295</v>
      </c>
      <c r="Q194" s="28">
        <v>299.7</v>
      </c>
      <c r="R194" s="28">
        <v>291.14999999999998</v>
      </c>
      <c r="S194" s="22">
        <v>17760000</v>
      </c>
      <c r="T194" s="7"/>
    </row>
    <row r="195" spans="1:20" x14ac:dyDescent="0.3">
      <c r="A195" s="8"/>
      <c r="B195" s="10">
        <v>45999</v>
      </c>
      <c r="C195" s="12">
        <v>-2.1600000000000001E-2</v>
      </c>
      <c r="D195" s="21">
        <v>385.9</v>
      </c>
      <c r="E195" s="21">
        <v>393.8</v>
      </c>
      <c r="F195" s="21">
        <v>394.9</v>
      </c>
      <c r="G195" s="21">
        <v>380.8</v>
      </c>
      <c r="H195" s="22">
        <v>4170000</v>
      </c>
      <c r="I195" s="17"/>
      <c r="M195" s="10">
        <v>45999</v>
      </c>
      <c r="N195" s="12">
        <v>-2.4500000000000001E-2</v>
      </c>
      <c r="O195" s="28">
        <v>285.25</v>
      </c>
      <c r="P195" s="28">
        <v>290.89999999999998</v>
      </c>
      <c r="Q195" s="28">
        <v>297.39999999999998</v>
      </c>
      <c r="R195" s="28">
        <v>284.14999999999998</v>
      </c>
      <c r="S195" s="22">
        <v>85130000</v>
      </c>
      <c r="T195" s="7"/>
    </row>
    <row r="196" spans="1:20" x14ac:dyDescent="0.3">
      <c r="A196" s="8"/>
      <c r="B196" s="10">
        <v>46000</v>
      </c>
      <c r="C196" s="12">
        <v>3.15E-2</v>
      </c>
      <c r="D196" s="21">
        <v>398.05</v>
      </c>
      <c r="E196" s="21">
        <v>384</v>
      </c>
      <c r="F196" s="21">
        <v>400</v>
      </c>
      <c r="G196" s="21">
        <v>380.15</v>
      </c>
      <c r="H196" s="22">
        <v>8410000</v>
      </c>
      <c r="I196" s="17"/>
      <c r="M196" s="10">
        <v>46000</v>
      </c>
      <c r="N196" s="12">
        <v>2.2599999999999999E-2</v>
      </c>
      <c r="O196" s="28">
        <v>291.7</v>
      </c>
      <c r="P196" s="28">
        <v>284.55</v>
      </c>
      <c r="Q196" s="28">
        <v>292.3</v>
      </c>
      <c r="R196" s="28">
        <v>280.3</v>
      </c>
      <c r="S196" s="22">
        <v>27050000</v>
      </c>
      <c r="T196" s="7"/>
    </row>
    <row r="197" spans="1:20" x14ac:dyDescent="0.3">
      <c r="A197" s="8"/>
      <c r="B197" s="10">
        <v>46001</v>
      </c>
      <c r="C197" s="12">
        <v>-6.4000000000000003E-3</v>
      </c>
      <c r="D197" s="21">
        <v>395.5</v>
      </c>
      <c r="E197" s="21">
        <v>395</v>
      </c>
      <c r="F197" s="21">
        <v>406.9</v>
      </c>
      <c r="G197" s="21">
        <v>390.1</v>
      </c>
      <c r="H197" s="22">
        <v>12640000</v>
      </c>
      <c r="I197" s="17"/>
      <c r="M197" s="10">
        <v>46001</v>
      </c>
      <c r="N197" s="12">
        <v>-2.9000000000000001E-2</v>
      </c>
      <c r="O197" s="28">
        <v>283.25</v>
      </c>
      <c r="P197" s="28">
        <v>289</v>
      </c>
      <c r="Q197" s="28">
        <v>293</v>
      </c>
      <c r="R197" s="28">
        <v>282</v>
      </c>
      <c r="S197" s="22">
        <v>20640000</v>
      </c>
      <c r="T197" s="7"/>
    </row>
    <row r="198" spans="1:20" x14ac:dyDescent="0.3">
      <c r="A198" s="8"/>
      <c r="B198" s="10">
        <v>46002</v>
      </c>
      <c r="C198" s="12">
        <v>1.44E-2</v>
      </c>
      <c r="D198" s="21">
        <v>401.2</v>
      </c>
      <c r="E198" s="21">
        <v>397</v>
      </c>
      <c r="F198" s="21">
        <v>407.9</v>
      </c>
      <c r="G198" s="21">
        <v>396.95</v>
      </c>
      <c r="H198" s="22">
        <v>15440000</v>
      </c>
      <c r="I198" s="17"/>
      <c r="M198" s="10">
        <v>46002</v>
      </c>
      <c r="N198" s="12">
        <v>2.7199999999999998E-2</v>
      </c>
      <c r="O198" s="28">
        <v>290.95</v>
      </c>
      <c r="P198" s="28">
        <v>284</v>
      </c>
      <c r="Q198" s="28">
        <v>291.89999999999998</v>
      </c>
      <c r="R198" s="28">
        <v>283.05</v>
      </c>
      <c r="S198" s="22">
        <v>21040000</v>
      </c>
      <c r="T198" s="7"/>
    </row>
    <row r="199" spans="1:20" x14ac:dyDescent="0.3">
      <c r="A199" s="8"/>
      <c r="B199" s="10">
        <v>46003</v>
      </c>
      <c r="C199" s="12">
        <v>3.8100000000000002E-2</v>
      </c>
      <c r="D199" s="21">
        <v>416.5</v>
      </c>
      <c r="E199" s="21">
        <v>404.75</v>
      </c>
      <c r="F199" s="21">
        <v>421.6</v>
      </c>
      <c r="G199" s="21">
        <v>403.4</v>
      </c>
      <c r="H199" s="22">
        <v>27000000</v>
      </c>
      <c r="I199" s="17"/>
      <c r="M199" s="10">
        <v>46003</v>
      </c>
      <c r="N199" s="12">
        <v>2.4400000000000002E-2</v>
      </c>
      <c r="O199" s="28">
        <v>298.05</v>
      </c>
      <c r="P199" s="28">
        <v>290.10000000000002</v>
      </c>
      <c r="Q199" s="28">
        <v>299</v>
      </c>
      <c r="R199" s="28">
        <v>288.60000000000002</v>
      </c>
      <c r="S199" s="22">
        <v>27290000</v>
      </c>
      <c r="T199" s="7"/>
    </row>
    <row r="200" spans="1:20" x14ac:dyDescent="0.3">
      <c r="A200" s="8"/>
      <c r="B200" s="10">
        <v>46006</v>
      </c>
      <c r="C200" s="12">
        <v>-7.4000000000000003E-3</v>
      </c>
      <c r="D200" s="21">
        <v>413.4</v>
      </c>
      <c r="E200" s="21">
        <v>417.95</v>
      </c>
      <c r="F200" s="21">
        <v>417.95</v>
      </c>
      <c r="G200" s="21">
        <v>409.4</v>
      </c>
      <c r="H200" s="22">
        <v>9870000</v>
      </c>
      <c r="I200" s="17"/>
      <c r="M200" s="10">
        <v>46006</v>
      </c>
      <c r="N200" s="12">
        <v>1.2999999999999999E-3</v>
      </c>
      <c r="O200" s="28">
        <v>298.45</v>
      </c>
      <c r="P200" s="28">
        <v>295</v>
      </c>
      <c r="Q200" s="28">
        <v>299.55</v>
      </c>
      <c r="R200" s="28">
        <v>295</v>
      </c>
      <c r="S200" s="22">
        <v>14760000</v>
      </c>
      <c r="T200" s="7"/>
    </row>
    <row r="201" spans="1:20" x14ac:dyDescent="0.3">
      <c r="A201" s="8"/>
      <c r="B201" s="10">
        <v>46007</v>
      </c>
      <c r="C201" s="12">
        <v>-4.1500000000000002E-2</v>
      </c>
      <c r="D201" s="21">
        <v>396.25</v>
      </c>
      <c r="E201" s="21">
        <v>410</v>
      </c>
      <c r="F201" s="21">
        <v>410</v>
      </c>
      <c r="G201" s="21">
        <v>389.15</v>
      </c>
      <c r="H201" s="22">
        <v>24400000</v>
      </c>
      <c r="I201" s="17"/>
      <c r="M201" s="10">
        <v>46007</v>
      </c>
      <c r="N201" s="12">
        <v>-4.6899999999999997E-2</v>
      </c>
      <c r="O201" s="28">
        <v>284.45</v>
      </c>
      <c r="P201" s="28">
        <v>298.2</v>
      </c>
      <c r="Q201" s="28">
        <v>298.2</v>
      </c>
      <c r="R201" s="28">
        <v>282.64999999999998</v>
      </c>
      <c r="S201" s="22">
        <v>58630000</v>
      </c>
      <c r="T201" s="7"/>
    </row>
    <row r="202" spans="1:20" x14ac:dyDescent="0.3">
      <c r="A202" s="8"/>
      <c r="B202" s="10">
        <v>46008</v>
      </c>
      <c r="C202" s="12">
        <v>6.7999999999999996E-3</v>
      </c>
      <c r="D202" s="21">
        <v>398.95</v>
      </c>
      <c r="E202" s="21">
        <v>395</v>
      </c>
      <c r="F202" s="21">
        <v>406</v>
      </c>
      <c r="G202" s="21">
        <v>392.35</v>
      </c>
      <c r="H202" s="22">
        <v>15210000</v>
      </c>
      <c r="I202" s="17"/>
      <c r="M202" s="10">
        <v>46008</v>
      </c>
      <c r="N202" s="12">
        <v>0</v>
      </c>
      <c r="O202" s="28">
        <v>284.45</v>
      </c>
      <c r="P202" s="28">
        <v>286.25</v>
      </c>
      <c r="Q202" s="28">
        <v>290.5</v>
      </c>
      <c r="R202" s="28">
        <v>283.55</v>
      </c>
      <c r="S202" s="22">
        <v>27150000</v>
      </c>
      <c r="T202" s="7"/>
    </row>
    <row r="203" spans="1:20" x14ac:dyDescent="0.3">
      <c r="A203" s="8"/>
      <c r="B203" s="10">
        <v>46009</v>
      </c>
      <c r="C203" s="12">
        <v>2.9499999999999998E-2</v>
      </c>
      <c r="D203" s="21">
        <v>410.7</v>
      </c>
      <c r="E203" s="21">
        <v>400</v>
      </c>
      <c r="F203" s="21">
        <v>415.4</v>
      </c>
      <c r="G203" s="21">
        <v>397.35</v>
      </c>
      <c r="H203" s="22">
        <v>68640000</v>
      </c>
      <c r="I203" s="17"/>
      <c r="M203" s="10">
        <v>46009</v>
      </c>
      <c r="N203" s="12">
        <v>1.1000000000000001E-3</v>
      </c>
      <c r="O203" s="28">
        <v>284.75</v>
      </c>
      <c r="P203" s="28">
        <v>284.05</v>
      </c>
      <c r="Q203" s="28">
        <v>285.5</v>
      </c>
      <c r="R203" s="28">
        <v>281.7</v>
      </c>
      <c r="S203" s="22">
        <v>14160000</v>
      </c>
      <c r="T203" s="7"/>
    </row>
    <row r="204" spans="1:20" x14ac:dyDescent="0.3">
      <c r="A204" s="8"/>
      <c r="B204" s="10">
        <v>46010</v>
      </c>
      <c r="C204" s="12">
        <v>3.7000000000000002E-3</v>
      </c>
      <c r="D204" s="21">
        <v>412.2</v>
      </c>
      <c r="E204" s="21">
        <v>420</v>
      </c>
      <c r="F204" s="21">
        <v>420</v>
      </c>
      <c r="G204" s="21">
        <v>404.25</v>
      </c>
      <c r="H204" s="22">
        <v>26000000</v>
      </c>
      <c r="I204" s="17"/>
      <c r="M204" s="10">
        <v>46010</v>
      </c>
      <c r="N204" s="12">
        <v>4.5999999999999999E-3</v>
      </c>
      <c r="O204" s="28">
        <v>286.05</v>
      </c>
      <c r="P204" s="28">
        <v>286.89999999999998</v>
      </c>
      <c r="Q204" s="28">
        <v>288.35000000000002</v>
      </c>
      <c r="R204" s="28">
        <v>285.25</v>
      </c>
      <c r="S204" s="22">
        <v>17780000</v>
      </c>
      <c r="T204" s="7"/>
    </row>
    <row r="205" spans="1:20" x14ac:dyDescent="0.3">
      <c r="A205" s="8"/>
      <c r="B205" s="10">
        <v>46013</v>
      </c>
      <c r="C205" s="12">
        <v>-1.41E-2</v>
      </c>
      <c r="D205" s="21">
        <v>406.4</v>
      </c>
      <c r="E205" s="21">
        <v>410</v>
      </c>
      <c r="F205" s="21">
        <v>412.2</v>
      </c>
      <c r="G205" s="21">
        <v>404.7</v>
      </c>
      <c r="H205" s="22">
        <v>6160000</v>
      </c>
      <c r="I205" s="17"/>
      <c r="M205" s="10">
        <v>46013</v>
      </c>
      <c r="N205" s="12">
        <v>2.3E-3</v>
      </c>
      <c r="O205" s="28">
        <v>286.7</v>
      </c>
      <c r="P205" s="28">
        <v>286</v>
      </c>
      <c r="Q205" s="28">
        <v>287.89999999999998</v>
      </c>
      <c r="R205" s="28">
        <v>285.2</v>
      </c>
      <c r="S205" s="22">
        <v>14990000</v>
      </c>
      <c r="T205" s="7"/>
    </row>
    <row r="206" spans="1:20" x14ac:dyDescent="0.3">
      <c r="A206" s="8"/>
      <c r="B206" s="10">
        <v>46014</v>
      </c>
      <c r="C206" s="12">
        <v>-3.3E-3</v>
      </c>
      <c r="D206" s="21">
        <v>405.05</v>
      </c>
      <c r="E206" s="21">
        <v>406.4</v>
      </c>
      <c r="F206" s="21">
        <v>406.9</v>
      </c>
      <c r="G206" s="21">
        <v>400.15</v>
      </c>
      <c r="H206" s="22">
        <v>4640000</v>
      </c>
      <c r="I206" s="17"/>
      <c r="M206" s="10">
        <v>46014</v>
      </c>
      <c r="N206" s="12">
        <v>-8.2000000000000007E-3</v>
      </c>
      <c r="O206" s="28">
        <v>284.35000000000002</v>
      </c>
      <c r="P206" s="28">
        <v>287.05</v>
      </c>
      <c r="Q206" s="28">
        <v>288</v>
      </c>
      <c r="R206" s="28">
        <v>284</v>
      </c>
      <c r="S206" s="22">
        <v>12760000</v>
      </c>
      <c r="T206" s="7"/>
    </row>
    <row r="207" spans="1:20" x14ac:dyDescent="0.3">
      <c r="A207" s="8"/>
      <c r="B207" s="10">
        <v>46015</v>
      </c>
      <c r="C207" s="12">
        <v>-1.23E-2</v>
      </c>
      <c r="D207" s="21">
        <v>400.05</v>
      </c>
      <c r="E207" s="21">
        <v>404.4</v>
      </c>
      <c r="F207" s="21">
        <v>406.6</v>
      </c>
      <c r="G207" s="21">
        <v>398.45</v>
      </c>
      <c r="H207" s="22">
        <v>2740000</v>
      </c>
      <c r="I207" s="17"/>
      <c r="M207" s="10">
        <v>46015</v>
      </c>
      <c r="N207" s="12">
        <v>1.8E-3</v>
      </c>
      <c r="O207" s="28">
        <v>284.85000000000002</v>
      </c>
      <c r="P207" s="28">
        <v>283.5</v>
      </c>
      <c r="Q207" s="28">
        <v>286</v>
      </c>
      <c r="R207" s="28">
        <v>283.10000000000002</v>
      </c>
      <c r="S207" s="22">
        <v>12970000</v>
      </c>
      <c r="T207" s="7"/>
    </row>
    <row r="208" spans="1:20" x14ac:dyDescent="0.3">
      <c r="A208" s="8"/>
      <c r="B208" s="10">
        <v>46017</v>
      </c>
      <c r="C208" s="12">
        <v>-2.0400000000000001E-2</v>
      </c>
      <c r="D208" s="21">
        <v>391.9</v>
      </c>
      <c r="E208" s="21">
        <v>394</v>
      </c>
      <c r="F208" s="21">
        <v>396.4</v>
      </c>
      <c r="G208" s="21">
        <v>391</v>
      </c>
      <c r="H208" s="22">
        <v>2810000</v>
      </c>
      <c r="I208" s="17"/>
      <c r="M208" s="10">
        <v>46017</v>
      </c>
      <c r="N208" s="12">
        <v>-1.09E-2</v>
      </c>
      <c r="O208" s="28">
        <v>281.75</v>
      </c>
      <c r="P208" s="28">
        <v>281.8</v>
      </c>
      <c r="Q208" s="28">
        <v>284.64999999999998</v>
      </c>
      <c r="R208" s="28">
        <v>279.7</v>
      </c>
      <c r="S208" s="22">
        <v>15740000</v>
      </c>
      <c r="T208" s="7"/>
    </row>
    <row r="209" spans="1:20" x14ac:dyDescent="0.3">
      <c r="A209" s="8"/>
      <c r="B209" s="10">
        <v>46020</v>
      </c>
      <c r="C209" s="12">
        <v>7.4999999999999997E-3</v>
      </c>
      <c r="D209" s="21">
        <v>394.85</v>
      </c>
      <c r="E209" s="21">
        <v>393.95</v>
      </c>
      <c r="F209" s="21">
        <v>406.6</v>
      </c>
      <c r="G209" s="21">
        <v>391.05</v>
      </c>
      <c r="H209" s="22">
        <v>6450000</v>
      </c>
      <c r="I209" s="17"/>
      <c r="M209" s="10">
        <v>46020</v>
      </c>
      <c r="N209" s="12">
        <v>3.8999999999999998E-3</v>
      </c>
      <c r="O209" s="28">
        <v>282.85000000000002</v>
      </c>
      <c r="P209" s="28">
        <v>281.5</v>
      </c>
      <c r="Q209" s="28">
        <v>286.05</v>
      </c>
      <c r="R209" s="28">
        <v>281.5</v>
      </c>
      <c r="S209" s="22">
        <v>13180000</v>
      </c>
      <c r="T209" s="7"/>
    </row>
    <row r="210" spans="1:20" x14ac:dyDescent="0.3">
      <c r="A210" s="8"/>
      <c r="B210" s="10">
        <v>46021</v>
      </c>
      <c r="C210" s="12">
        <v>-2E-3</v>
      </c>
      <c r="D210" s="21">
        <v>394.05</v>
      </c>
      <c r="E210" s="21">
        <v>395</v>
      </c>
      <c r="F210" s="21">
        <v>399.7</v>
      </c>
      <c r="G210" s="21">
        <v>386.55</v>
      </c>
      <c r="H210" s="22">
        <v>7580000</v>
      </c>
      <c r="I210" s="17"/>
      <c r="M210" s="10">
        <v>46021</v>
      </c>
      <c r="N210" s="12">
        <v>-2.0299999999999999E-2</v>
      </c>
      <c r="O210" s="28">
        <v>277.10000000000002</v>
      </c>
      <c r="P210" s="28">
        <v>282.5</v>
      </c>
      <c r="Q210" s="28">
        <v>282.5</v>
      </c>
      <c r="R210" s="28">
        <v>275.35000000000002</v>
      </c>
      <c r="S210" s="22">
        <v>37820000</v>
      </c>
      <c r="T210" s="7"/>
    </row>
    <row r="211" spans="1:20" x14ac:dyDescent="0.3">
      <c r="A211" s="8"/>
      <c r="B211" s="10">
        <v>46022</v>
      </c>
      <c r="C211" s="12">
        <v>-1.9800000000000002E-2</v>
      </c>
      <c r="D211" s="21">
        <v>386.25</v>
      </c>
      <c r="E211" s="21">
        <v>395.45</v>
      </c>
      <c r="F211" s="21">
        <v>396</v>
      </c>
      <c r="G211" s="21">
        <v>385</v>
      </c>
      <c r="H211" s="22">
        <v>7180000</v>
      </c>
      <c r="I211" s="17"/>
      <c r="M211" s="10">
        <v>46022</v>
      </c>
      <c r="N211" s="12">
        <v>3.3999999999999998E-3</v>
      </c>
      <c r="O211" s="28">
        <v>278.05</v>
      </c>
      <c r="P211" s="28">
        <v>276</v>
      </c>
      <c r="Q211" s="28">
        <v>280.35000000000002</v>
      </c>
      <c r="R211" s="28">
        <v>275.5</v>
      </c>
      <c r="S211" s="22">
        <v>21960000</v>
      </c>
      <c r="T211" s="7"/>
    </row>
    <row r="212" spans="1:20" x14ac:dyDescent="0.3">
      <c r="A212" s="8"/>
      <c r="B212" s="10">
        <v>46023</v>
      </c>
      <c r="C212" s="12">
        <v>1.15E-2</v>
      </c>
      <c r="D212" s="21">
        <v>390.7</v>
      </c>
      <c r="E212" s="21">
        <v>389</v>
      </c>
      <c r="F212" s="21">
        <v>393.9</v>
      </c>
      <c r="G212" s="21">
        <v>386.75</v>
      </c>
      <c r="H212" s="22">
        <v>5160000</v>
      </c>
      <c r="I212" s="17"/>
      <c r="M212" s="10">
        <v>46023</v>
      </c>
      <c r="N212" s="12">
        <v>2.07E-2</v>
      </c>
      <c r="O212" s="28">
        <v>283.8</v>
      </c>
      <c r="P212" s="28">
        <v>278.60000000000002</v>
      </c>
      <c r="Q212" s="28">
        <v>285</v>
      </c>
      <c r="R212" s="28">
        <v>278.55</v>
      </c>
      <c r="S212" s="22">
        <v>13430000</v>
      </c>
      <c r="T212" s="7"/>
    </row>
    <row r="213" spans="1:20" x14ac:dyDescent="0.3">
      <c r="A213" s="8"/>
      <c r="B213" s="10">
        <v>46024</v>
      </c>
      <c r="C213" s="12">
        <v>-8.9999999999999993E-3</v>
      </c>
      <c r="D213" s="21">
        <v>387.2</v>
      </c>
      <c r="E213" s="21">
        <v>390.7</v>
      </c>
      <c r="F213" s="21">
        <v>390.7</v>
      </c>
      <c r="G213" s="21">
        <v>381</v>
      </c>
      <c r="H213" s="22">
        <v>6160000</v>
      </c>
      <c r="I213" s="17"/>
      <c r="M213" s="10">
        <v>46024</v>
      </c>
      <c r="N213" s="12">
        <v>1.1999999999999999E-3</v>
      </c>
      <c r="O213" s="28">
        <v>284.14999999999998</v>
      </c>
      <c r="P213" s="28">
        <v>283.8</v>
      </c>
      <c r="Q213" s="28">
        <v>287.75</v>
      </c>
      <c r="R213" s="28">
        <v>283.25</v>
      </c>
      <c r="S213" s="22">
        <v>13620000</v>
      </c>
      <c r="T213" s="7"/>
    </row>
    <row r="214" spans="1:20" x14ac:dyDescent="0.3">
      <c r="A214" s="8"/>
      <c r="B214" s="10">
        <v>46027</v>
      </c>
      <c r="C214" s="12">
        <v>-2.2700000000000001E-2</v>
      </c>
      <c r="D214" s="21">
        <v>378.4</v>
      </c>
      <c r="E214" s="21">
        <v>387.2</v>
      </c>
      <c r="F214" s="21">
        <v>390.25</v>
      </c>
      <c r="G214" s="21">
        <v>377</v>
      </c>
      <c r="H214" s="22">
        <v>8100000</v>
      </c>
      <c r="I214" s="17"/>
      <c r="M214" s="10">
        <v>46027</v>
      </c>
      <c r="N214" s="12">
        <v>-8.3000000000000001E-3</v>
      </c>
      <c r="O214" s="28">
        <v>281.8</v>
      </c>
      <c r="P214" s="28">
        <v>280.5</v>
      </c>
      <c r="Q214" s="28">
        <v>284</v>
      </c>
      <c r="R214" s="28">
        <v>279.60000000000002</v>
      </c>
      <c r="S214" s="22">
        <v>19330000</v>
      </c>
      <c r="T214" s="7"/>
    </row>
    <row r="215" spans="1:20" x14ac:dyDescent="0.3">
      <c r="A215" s="8"/>
      <c r="B215" s="10">
        <v>46028</v>
      </c>
      <c r="C215" s="12">
        <v>-4.5999999999999999E-2</v>
      </c>
      <c r="D215" s="21">
        <v>361</v>
      </c>
      <c r="E215" s="21">
        <v>378.4</v>
      </c>
      <c r="F215" s="21">
        <v>379</v>
      </c>
      <c r="G215" s="21">
        <v>356.35</v>
      </c>
      <c r="H215" s="22">
        <v>28270000</v>
      </c>
      <c r="I215" s="17"/>
      <c r="M215" s="10">
        <v>46028</v>
      </c>
      <c r="N215" s="12">
        <v>-9.7999999999999997E-3</v>
      </c>
      <c r="O215" s="28">
        <v>279.05</v>
      </c>
      <c r="P215" s="28">
        <v>281.8</v>
      </c>
      <c r="Q215" s="28">
        <v>283.55</v>
      </c>
      <c r="R215" s="28">
        <v>276.25</v>
      </c>
      <c r="S215" s="22">
        <v>29580000</v>
      </c>
      <c r="T215" s="7"/>
    </row>
    <row r="216" spans="1:20" x14ac:dyDescent="0.3">
      <c r="A216" s="8"/>
      <c r="B216" s="10">
        <v>46029</v>
      </c>
      <c r="C216" s="12">
        <v>2.5000000000000001E-3</v>
      </c>
      <c r="D216" s="21">
        <v>361.9</v>
      </c>
      <c r="E216" s="21">
        <v>362.9</v>
      </c>
      <c r="F216" s="21">
        <v>366.5</v>
      </c>
      <c r="G216" s="21">
        <v>359.5</v>
      </c>
      <c r="H216" s="22">
        <v>10460000</v>
      </c>
      <c r="I216" s="17"/>
      <c r="M216" s="10">
        <v>46029</v>
      </c>
      <c r="N216" s="12">
        <v>6.7999999999999996E-3</v>
      </c>
      <c r="O216" s="28">
        <v>280.95</v>
      </c>
      <c r="P216" s="28">
        <v>277</v>
      </c>
      <c r="Q216" s="28">
        <v>286.3</v>
      </c>
      <c r="R216" s="28">
        <v>276.55</v>
      </c>
      <c r="S216" s="22">
        <v>38180000</v>
      </c>
      <c r="T216" s="7"/>
    </row>
    <row r="217" spans="1:20" x14ac:dyDescent="0.3">
      <c r="A217" s="8"/>
      <c r="B217" s="10">
        <v>46030</v>
      </c>
      <c r="C217" s="12">
        <v>-2.5000000000000001E-2</v>
      </c>
      <c r="D217" s="21">
        <v>352.85</v>
      </c>
      <c r="E217" s="21">
        <v>362.9</v>
      </c>
      <c r="F217" s="21">
        <v>363.9</v>
      </c>
      <c r="G217" s="21">
        <v>351.35</v>
      </c>
      <c r="H217" s="22">
        <v>12500000</v>
      </c>
      <c r="I217" s="17"/>
      <c r="M217" s="10">
        <v>46030</v>
      </c>
      <c r="N217" s="12">
        <v>9.2999999999999992E-3</v>
      </c>
      <c r="O217" s="28">
        <v>283.55</v>
      </c>
      <c r="P217" s="28">
        <v>280.55</v>
      </c>
      <c r="Q217" s="28">
        <v>287.39999999999998</v>
      </c>
      <c r="R217" s="28">
        <v>279</v>
      </c>
      <c r="S217" s="22">
        <v>38190000</v>
      </c>
      <c r="T217" s="7"/>
    </row>
    <row r="218" spans="1:20" x14ac:dyDescent="0.3">
      <c r="A218" s="8"/>
      <c r="B218" s="10">
        <v>46031</v>
      </c>
      <c r="C218" s="12">
        <v>-3.3999999999999998E-3</v>
      </c>
      <c r="D218" s="21">
        <v>351.65</v>
      </c>
      <c r="E218" s="21">
        <v>352.85</v>
      </c>
      <c r="F218" s="21">
        <v>358.15</v>
      </c>
      <c r="G218" s="21">
        <v>349.5</v>
      </c>
      <c r="H218" s="22">
        <v>11240000</v>
      </c>
      <c r="I218" s="17"/>
      <c r="M218" s="10">
        <v>46031</v>
      </c>
      <c r="N218" s="12">
        <v>2.8E-3</v>
      </c>
      <c r="O218" s="28">
        <v>284.35000000000002</v>
      </c>
      <c r="P218" s="28">
        <v>283.39999999999998</v>
      </c>
      <c r="Q218" s="28">
        <v>292.89999999999998</v>
      </c>
      <c r="R218" s="28">
        <v>281.64999999999998</v>
      </c>
      <c r="S218" s="22">
        <v>55850000</v>
      </c>
      <c r="T218" s="7"/>
    </row>
    <row r="219" spans="1:20" x14ac:dyDescent="0.3">
      <c r="A219" s="8"/>
      <c r="B219" s="10">
        <v>46034</v>
      </c>
      <c r="C219" s="12">
        <v>-5.7999999999999996E-3</v>
      </c>
      <c r="D219" s="21">
        <v>349.6</v>
      </c>
      <c r="E219" s="21">
        <v>351.7</v>
      </c>
      <c r="F219" s="21">
        <v>352.3</v>
      </c>
      <c r="G219" s="21">
        <v>342</v>
      </c>
      <c r="H219" s="22">
        <v>14810000</v>
      </c>
      <c r="I219" s="17"/>
      <c r="M219" s="10">
        <v>46034</v>
      </c>
      <c r="N219" s="12">
        <v>3.2000000000000002E-3</v>
      </c>
      <c r="O219" s="28">
        <v>285.25</v>
      </c>
      <c r="P219" s="28">
        <v>284.35000000000002</v>
      </c>
      <c r="Q219" s="28">
        <v>286.25</v>
      </c>
      <c r="R219" s="28">
        <v>276.8</v>
      </c>
      <c r="S219" s="22">
        <v>28610000</v>
      </c>
      <c r="T219" s="7"/>
    </row>
    <row r="220" spans="1:20" x14ac:dyDescent="0.3">
      <c r="A220" s="8"/>
      <c r="B220" s="10">
        <v>46035</v>
      </c>
      <c r="C220" s="12">
        <v>2.0999999999999999E-3</v>
      </c>
      <c r="D220" s="21">
        <v>350.35</v>
      </c>
      <c r="E220" s="21">
        <v>350.4</v>
      </c>
      <c r="F220" s="21">
        <v>355.55</v>
      </c>
      <c r="G220" s="21">
        <v>345.15</v>
      </c>
      <c r="H220" s="22">
        <v>10760000</v>
      </c>
      <c r="I220" s="17"/>
      <c r="M220" s="10">
        <v>46035</v>
      </c>
      <c r="N220" s="12">
        <v>3.2599999999999997E-2</v>
      </c>
      <c r="O220" s="28">
        <v>294.55</v>
      </c>
      <c r="P220" s="28">
        <v>289.5</v>
      </c>
      <c r="Q220" s="28">
        <v>297.3</v>
      </c>
      <c r="R220" s="28">
        <v>289.14999999999998</v>
      </c>
      <c r="S220" s="22">
        <v>50350000</v>
      </c>
      <c r="T220" s="7"/>
    </row>
    <row r="221" spans="1:20" x14ac:dyDescent="0.3">
      <c r="A221" s="8"/>
      <c r="B221" s="10">
        <v>46036</v>
      </c>
      <c r="C221" s="12">
        <v>-9.4000000000000004E-3</v>
      </c>
      <c r="D221" s="21">
        <v>347.05</v>
      </c>
      <c r="E221" s="21">
        <v>348.1</v>
      </c>
      <c r="F221" s="21">
        <v>348.6</v>
      </c>
      <c r="G221" s="21">
        <v>341.3</v>
      </c>
      <c r="H221" s="22">
        <v>10280000</v>
      </c>
      <c r="I221" s="17"/>
      <c r="M221" s="10">
        <v>46036</v>
      </c>
      <c r="N221" s="12">
        <v>1.6E-2</v>
      </c>
      <c r="O221" s="28">
        <v>299.25</v>
      </c>
      <c r="P221" s="28">
        <v>292.5</v>
      </c>
      <c r="Q221" s="28">
        <v>299.89999999999998</v>
      </c>
      <c r="R221" s="28">
        <v>291</v>
      </c>
      <c r="S221" s="22">
        <v>48490000</v>
      </c>
      <c r="T221" s="7"/>
    </row>
    <row r="222" spans="1:20" x14ac:dyDescent="0.3">
      <c r="A222" s="8"/>
      <c r="B222" s="10">
        <v>46038</v>
      </c>
      <c r="C222" s="12">
        <v>-1.9599999999999999E-2</v>
      </c>
      <c r="D222" s="21">
        <v>340.25</v>
      </c>
      <c r="E222" s="21">
        <v>346.25</v>
      </c>
      <c r="F222" s="21">
        <v>347</v>
      </c>
      <c r="G222" s="21">
        <v>337.55</v>
      </c>
      <c r="H222" s="22">
        <v>9820000</v>
      </c>
      <c r="I222" s="17"/>
      <c r="M222" s="10">
        <v>46038</v>
      </c>
      <c r="N222" s="12">
        <v>-3.8600000000000002E-2</v>
      </c>
      <c r="O222" s="28">
        <v>287.7</v>
      </c>
      <c r="P222" s="28">
        <v>294.05</v>
      </c>
      <c r="Q222" s="28">
        <v>296.8</v>
      </c>
      <c r="R222" s="28">
        <v>286.8</v>
      </c>
      <c r="S222" s="22">
        <v>62840000</v>
      </c>
      <c r="T222" s="7"/>
    </row>
    <row r="223" spans="1:20" x14ac:dyDescent="0.3">
      <c r="A223" s="8"/>
      <c r="B223" s="10">
        <v>46041</v>
      </c>
      <c r="C223" s="12">
        <v>-1.9E-2</v>
      </c>
      <c r="D223" s="21">
        <v>333.8</v>
      </c>
      <c r="E223" s="21">
        <v>340</v>
      </c>
      <c r="F223" s="21">
        <v>341.5</v>
      </c>
      <c r="G223" s="21">
        <v>331.2</v>
      </c>
      <c r="H223" s="22">
        <v>13550000</v>
      </c>
      <c r="I223" s="17"/>
      <c r="M223" s="10">
        <v>46041</v>
      </c>
      <c r="N223" s="12">
        <v>-2.2100000000000002E-2</v>
      </c>
      <c r="O223" s="28">
        <v>281.35000000000002</v>
      </c>
      <c r="P223" s="28">
        <v>288.5</v>
      </c>
      <c r="Q223" s="28">
        <v>290</v>
      </c>
      <c r="R223" s="28">
        <v>276.64999999999998</v>
      </c>
      <c r="S223" s="22">
        <v>83660000</v>
      </c>
      <c r="T223" s="7"/>
    </row>
    <row r="224" spans="1:20" x14ac:dyDescent="0.3">
      <c r="A224" s="8"/>
      <c r="B224" s="10">
        <v>46042</v>
      </c>
      <c r="C224" s="12">
        <v>-2.3099999999999999E-2</v>
      </c>
      <c r="D224" s="21">
        <v>326.10000000000002</v>
      </c>
      <c r="E224" s="21">
        <v>331.8</v>
      </c>
      <c r="F224" s="21">
        <v>334.3</v>
      </c>
      <c r="G224" s="21">
        <v>324.05</v>
      </c>
      <c r="H224" s="22">
        <v>6860000</v>
      </c>
      <c r="I224" s="17"/>
      <c r="M224" s="10">
        <v>46042</v>
      </c>
      <c r="N224" s="12">
        <v>-4.1799999999999997E-2</v>
      </c>
      <c r="O224" s="28">
        <v>269.60000000000002</v>
      </c>
      <c r="P224" s="28">
        <v>282</v>
      </c>
      <c r="Q224" s="28">
        <v>282.39999999999998</v>
      </c>
      <c r="R224" s="28">
        <v>267.85000000000002</v>
      </c>
      <c r="S224" s="22">
        <v>83680000</v>
      </c>
      <c r="T224" s="7"/>
    </row>
    <row r="225" spans="1:20" x14ac:dyDescent="0.3">
      <c r="A225" s="8"/>
      <c r="B225" s="10">
        <v>46043</v>
      </c>
      <c r="C225" s="12">
        <v>2.5899999999999999E-2</v>
      </c>
      <c r="D225" s="21">
        <v>334.55</v>
      </c>
      <c r="E225" s="21">
        <v>325.75</v>
      </c>
      <c r="F225" s="21">
        <v>339.4</v>
      </c>
      <c r="G225" s="21">
        <v>318.39999999999998</v>
      </c>
      <c r="H225" s="22">
        <v>18960000</v>
      </c>
      <c r="I225" s="17"/>
      <c r="M225" s="10">
        <v>46043</v>
      </c>
      <c r="N225" s="12">
        <v>5.16E-2</v>
      </c>
      <c r="O225" s="28">
        <v>283.5</v>
      </c>
      <c r="P225" s="28">
        <v>269.25</v>
      </c>
      <c r="Q225" s="28">
        <v>287.2</v>
      </c>
      <c r="R225" s="28">
        <v>268.8</v>
      </c>
      <c r="S225" s="22">
        <v>71730000</v>
      </c>
      <c r="T225" s="7"/>
    </row>
    <row r="226" spans="1:20" x14ac:dyDescent="0.3">
      <c r="A226" s="8"/>
      <c r="B226" s="10">
        <v>46044</v>
      </c>
      <c r="C226" s="12">
        <v>-4.2599999999999999E-2</v>
      </c>
      <c r="D226" s="21">
        <v>320.3</v>
      </c>
      <c r="E226" s="21">
        <v>343</v>
      </c>
      <c r="F226" s="21">
        <v>347.85</v>
      </c>
      <c r="G226" s="21">
        <v>312.89999999999998</v>
      </c>
      <c r="H226" s="22">
        <v>26800000</v>
      </c>
      <c r="I226" s="17"/>
      <c r="M226" s="10">
        <v>46044</v>
      </c>
      <c r="N226" s="12">
        <v>-2.6800000000000001E-2</v>
      </c>
      <c r="O226" s="28">
        <v>275.89999999999998</v>
      </c>
      <c r="P226" s="28">
        <v>300</v>
      </c>
      <c r="Q226" s="28">
        <v>305</v>
      </c>
      <c r="R226" s="28">
        <v>275.05</v>
      </c>
      <c r="S226" s="22">
        <v>154980000</v>
      </c>
      <c r="T226" s="7"/>
    </row>
    <row r="227" spans="1:20" x14ac:dyDescent="0.3">
      <c r="A227" s="8"/>
      <c r="B227" s="10">
        <v>46045</v>
      </c>
      <c r="C227" s="12">
        <v>-2.6700000000000002E-2</v>
      </c>
      <c r="D227" s="21">
        <v>311.75</v>
      </c>
      <c r="E227" s="21">
        <v>320.55</v>
      </c>
      <c r="F227" s="21">
        <v>321.7</v>
      </c>
      <c r="G227" s="21">
        <v>310.14999999999998</v>
      </c>
      <c r="H227" s="22">
        <v>17200000</v>
      </c>
      <c r="I227" s="17"/>
      <c r="M227" s="10">
        <v>46045</v>
      </c>
      <c r="N227" s="12">
        <v>-6.2300000000000001E-2</v>
      </c>
      <c r="O227" s="28">
        <v>258.7</v>
      </c>
      <c r="P227" s="28">
        <v>276.95</v>
      </c>
      <c r="Q227" s="28">
        <v>277</v>
      </c>
      <c r="R227" s="28">
        <v>257.7</v>
      </c>
      <c r="S227" s="22">
        <v>85770000</v>
      </c>
      <c r="T227" s="7"/>
    </row>
    <row r="228" spans="1:20" x14ac:dyDescent="0.3">
      <c r="A228" s="8"/>
      <c r="B228" s="10">
        <v>46049</v>
      </c>
      <c r="C228" s="12">
        <v>1.6000000000000001E-3</v>
      </c>
      <c r="D228" s="21">
        <v>312.25</v>
      </c>
      <c r="E228" s="21">
        <v>314.10000000000002</v>
      </c>
      <c r="F228" s="21">
        <v>317.89999999999998</v>
      </c>
      <c r="G228" s="21">
        <v>304</v>
      </c>
      <c r="H228" s="22">
        <v>14290000</v>
      </c>
      <c r="I228" s="17"/>
      <c r="M228" s="10">
        <v>46049</v>
      </c>
      <c r="N228" s="12">
        <v>-1.8700000000000001E-2</v>
      </c>
      <c r="O228" s="28">
        <v>253.85</v>
      </c>
      <c r="P228" s="28">
        <v>258.05</v>
      </c>
      <c r="Q228" s="28">
        <v>261.14999999999998</v>
      </c>
      <c r="R228" s="28">
        <v>250.5</v>
      </c>
      <c r="S228" s="22">
        <v>106170000</v>
      </c>
      <c r="T228" s="7"/>
    </row>
    <row r="229" spans="1:20" x14ac:dyDescent="0.3">
      <c r="A229" s="8"/>
      <c r="B229" s="10">
        <v>46050</v>
      </c>
      <c r="C229" s="12">
        <v>3.5999999999999997E-2</v>
      </c>
      <c r="D229" s="21">
        <v>323.5</v>
      </c>
      <c r="E229" s="21">
        <v>313</v>
      </c>
      <c r="F229" s="21">
        <v>325.3</v>
      </c>
      <c r="G229" s="21">
        <v>309</v>
      </c>
      <c r="H229" s="22">
        <v>12890000</v>
      </c>
      <c r="I229" s="17"/>
      <c r="M229" s="10">
        <v>46050</v>
      </c>
      <c r="N229" s="12">
        <v>4.9000000000000002E-2</v>
      </c>
      <c r="O229" s="28">
        <v>266.3</v>
      </c>
      <c r="P229" s="28">
        <v>256</v>
      </c>
      <c r="Q229" s="28">
        <v>267.2</v>
      </c>
      <c r="R229" s="28">
        <v>252.8</v>
      </c>
      <c r="S229" s="22">
        <v>82530000</v>
      </c>
      <c r="T229" s="7"/>
    </row>
    <row r="230" spans="1:20" x14ac:dyDescent="0.3">
      <c r="A230" s="8"/>
      <c r="B230" s="10">
        <v>46051</v>
      </c>
      <c r="C230" s="12">
        <v>1.2800000000000001E-2</v>
      </c>
      <c r="D230" s="21">
        <v>327.64999999999998</v>
      </c>
      <c r="E230" s="21">
        <v>324.60000000000002</v>
      </c>
      <c r="F230" s="21">
        <v>330.5</v>
      </c>
      <c r="G230" s="21">
        <v>321.64999999999998</v>
      </c>
      <c r="H230" s="22">
        <v>6540000</v>
      </c>
      <c r="I230" s="17"/>
      <c r="M230" s="10">
        <v>46051</v>
      </c>
      <c r="N230" s="12">
        <v>3.4000000000000002E-2</v>
      </c>
      <c r="O230" s="28">
        <v>275.35000000000002</v>
      </c>
      <c r="P230" s="28">
        <v>266.2</v>
      </c>
      <c r="Q230" s="28">
        <v>277.10000000000002</v>
      </c>
      <c r="R230" s="28">
        <v>263.05</v>
      </c>
      <c r="S230" s="22">
        <v>74340000</v>
      </c>
      <c r="T230" s="7"/>
    </row>
    <row r="231" spans="1:20" x14ac:dyDescent="0.3">
      <c r="A231" s="8"/>
      <c r="B231" s="10">
        <v>46052</v>
      </c>
      <c r="C231" s="12">
        <v>-5.4600000000000003E-2</v>
      </c>
      <c r="D231" s="21">
        <v>309.75</v>
      </c>
      <c r="E231" s="21">
        <v>309</v>
      </c>
      <c r="F231" s="21">
        <v>316</v>
      </c>
      <c r="G231" s="21">
        <v>302.10000000000002</v>
      </c>
      <c r="H231" s="22">
        <v>41700000</v>
      </c>
      <c r="I231" s="17"/>
      <c r="M231" s="10">
        <v>46052</v>
      </c>
      <c r="N231" s="12">
        <v>-6.4000000000000003E-3</v>
      </c>
      <c r="O231" s="28">
        <v>273.60000000000002</v>
      </c>
      <c r="P231" s="28">
        <v>272.64999999999998</v>
      </c>
      <c r="Q231" s="28">
        <v>275.85000000000002</v>
      </c>
      <c r="R231" s="28">
        <v>267.64999999999998</v>
      </c>
      <c r="S231" s="22">
        <v>43750000</v>
      </c>
      <c r="T231" s="7"/>
    </row>
    <row r="232" spans="1:20" x14ac:dyDescent="0.3">
      <c r="A232" s="8"/>
      <c r="B232" s="10">
        <v>46054</v>
      </c>
      <c r="C232" s="12">
        <v>1.49E-2</v>
      </c>
      <c r="D232" s="21">
        <v>314.35000000000002</v>
      </c>
      <c r="E232" s="21">
        <v>313</v>
      </c>
      <c r="F232" s="21">
        <v>323.5</v>
      </c>
      <c r="G232" s="21">
        <v>297.89999999999998</v>
      </c>
      <c r="H232" s="22">
        <v>9240000</v>
      </c>
      <c r="I232" s="17"/>
      <c r="M232" s="10">
        <v>46054</v>
      </c>
      <c r="N232" s="12">
        <v>-1.4800000000000001E-2</v>
      </c>
      <c r="O232" s="28">
        <v>269.55</v>
      </c>
      <c r="P232" s="28">
        <v>274</v>
      </c>
      <c r="Q232" s="28">
        <v>277.14999999999998</v>
      </c>
      <c r="R232" s="28">
        <v>258.39999999999998</v>
      </c>
      <c r="S232" s="22">
        <v>20260000</v>
      </c>
      <c r="T232" s="7"/>
    </row>
    <row r="233" spans="1:20" x14ac:dyDescent="0.3">
      <c r="A233" s="8"/>
      <c r="B233" s="10">
        <v>46055</v>
      </c>
      <c r="C233" s="12">
        <v>-2.53E-2</v>
      </c>
      <c r="D233" s="21">
        <v>306.39999999999998</v>
      </c>
      <c r="E233" s="21">
        <v>314</v>
      </c>
      <c r="F233" s="21">
        <v>315.60000000000002</v>
      </c>
      <c r="G233" s="21">
        <v>304.10000000000002</v>
      </c>
      <c r="H233" s="22">
        <v>11550000</v>
      </c>
      <c r="I233" s="17"/>
      <c r="M233" s="10">
        <v>46055</v>
      </c>
      <c r="N233" s="12">
        <v>1.15E-2</v>
      </c>
      <c r="O233" s="28">
        <v>272.64999999999998</v>
      </c>
      <c r="P233" s="28">
        <v>266</v>
      </c>
      <c r="Q233" s="28">
        <v>276.3</v>
      </c>
      <c r="R233" s="28">
        <v>266</v>
      </c>
      <c r="S233" s="22">
        <v>34210000</v>
      </c>
      <c r="T233" s="7"/>
    </row>
    <row r="234" spans="1:20" x14ac:dyDescent="0.3">
      <c r="A234" s="8"/>
      <c r="B234" s="10">
        <v>46056</v>
      </c>
      <c r="C234" s="12">
        <v>3.6999999999999998E-2</v>
      </c>
      <c r="D234" s="21">
        <v>317.75</v>
      </c>
      <c r="E234" s="21">
        <v>319</v>
      </c>
      <c r="F234" s="21">
        <v>328.35</v>
      </c>
      <c r="G234" s="21">
        <v>314.7</v>
      </c>
      <c r="H234" s="22">
        <v>23080000</v>
      </c>
      <c r="I234" s="17"/>
      <c r="M234" s="10">
        <v>46056</v>
      </c>
      <c r="N234" s="12">
        <v>2.6200000000000001E-2</v>
      </c>
      <c r="O234" s="28">
        <v>279.8</v>
      </c>
      <c r="P234" s="28">
        <v>294</v>
      </c>
      <c r="Q234" s="28">
        <v>299.89999999999998</v>
      </c>
      <c r="R234" s="28">
        <v>278.10000000000002</v>
      </c>
      <c r="S234" s="22">
        <v>75310000</v>
      </c>
      <c r="T234" s="7"/>
    </row>
    <row r="235" spans="1:20" x14ac:dyDescent="0.3">
      <c r="A235" s="8"/>
      <c r="B235" s="10">
        <v>46057</v>
      </c>
      <c r="C235" s="12">
        <v>1.0500000000000001E-2</v>
      </c>
      <c r="D235" s="21">
        <v>321.10000000000002</v>
      </c>
      <c r="E235" s="21">
        <v>319.5</v>
      </c>
      <c r="F235" s="21">
        <v>324.2</v>
      </c>
      <c r="G235" s="21">
        <v>314.05</v>
      </c>
      <c r="H235" s="22">
        <v>8830000</v>
      </c>
      <c r="I235" s="17"/>
      <c r="M235" s="10">
        <v>46057</v>
      </c>
      <c r="N235" s="12">
        <v>5.1299999999999998E-2</v>
      </c>
      <c r="O235" s="28">
        <v>294.14999999999998</v>
      </c>
      <c r="P235" s="28">
        <v>279.75</v>
      </c>
      <c r="Q235" s="28">
        <v>294.95</v>
      </c>
      <c r="R235" s="28">
        <v>273.05</v>
      </c>
      <c r="S235" s="22">
        <v>64890000</v>
      </c>
      <c r="T235" s="7"/>
    </row>
    <row r="236" spans="1:20" x14ac:dyDescent="0.3">
      <c r="A236" s="8"/>
      <c r="B236" s="10">
        <v>46058</v>
      </c>
      <c r="C236" s="12">
        <v>1.1000000000000001E-3</v>
      </c>
      <c r="D236" s="21">
        <v>321.45</v>
      </c>
      <c r="E236" s="21">
        <v>322</v>
      </c>
      <c r="F236" s="21">
        <v>324.55</v>
      </c>
      <c r="G236" s="21">
        <v>314.25</v>
      </c>
      <c r="H236" s="22">
        <v>9500000</v>
      </c>
      <c r="I236" s="17"/>
      <c r="M236" s="10">
        <v>46058</v>
      </c>
      <c r="N236" s="12">
        <v>-2.4799999999999999E-2</v>
      </c>
      <c r="O236" s="28">
        <v>286.85000000000002</v>
      </c>
      <c r="P236" s="28">
        <v>291.10000000000002</v>
      </c>
      <c r="Q236" s="28">
        <v>294.85000000000002</v>
      </c>
      <c r="R236" s="28">
        <v>284.7</v>
      </c>
      <c r="S236" s="22">
        <v>30380000</v>
      </c>
      <c r="T236" s="7"/>
    </row>
    <row r="237" spans="1:20" x14ac:dyDescent="0.3">
      <c r="A237" s="8"/>
      <c r="B237" s="10">
        <v>46059</v>
      </c>
      <c r="C237" s="12">
        <v>-4.4999999999999997E-3</v>
      </c>
      <c r="D237" s="21">
        <v>320</v>
      </c>
      <c r="E237" s="21">
        <v>321.45</v>
      </c>
      <c r="F237" s="21">
        <v>322.2</v>
      </c>
      <c r="G237" s="21">
        <v>314</v>
      </c>
      <c r="H237" s="22">
        <v>6150000</v>
      </c>
      <c r="I237" s="17"/>
      <c r="M237" s="10">
        <v>46059</v>
      </c>
      <c r="N237" s="12">
        <v>-1.15E-2</v>
      </c>
      <c r="O237" s="28">
        <v>283.55</v>
      </c>
      <c r="P237" s="28">
        <v>286.89999999999998</v>
      </c>
      <c r="Q237" s="28">
        <v>288.7</v>
      </c>
      <c r="R237" s="28">
        <v>281.64999999999998</v>
      </c>
      <c r="S237" s="22">
        <v>29940000</v>
      </c>
      <c r="T237" s="7"/>
    </row>
    <row r="238" spans="1:20" x14ac:dyDescent="0.3">
      <c r="A238" s="8"/>
      <c r="B238" s="10">
        <v>46062</v>
      </c>
      <c r="C238" s="12">
        <v>4.2799999999999998E-2</v>
      </c>
      <c r="D238" s="21">
        <v>333.7</v>
      </c>
      <c r="E238" s="21">
        <v>321</v>
      </c>
      <c r="F238" s="21">
        <v>335</v>
      </c>
      <c r="G238" s="21">
        <v>319.5</v>
      </c>
      <c r="H238" s="22">
        <v>11280000</v>
      </c>
      <c r="I238" s="17"/>
      <c r="M238" s="10">
        <v>46062</v>
      </c>
      <c r="N238" s="12">
        <v>1.8700000000000001E-2</v>
      </c>
      <c r="O238" s="28">
        <v>288.85000000000002</v>
      </c>
      <c r="P238" s="28">
        <v>286</v>
      </c>
      <c r="Q238" s="28">
        <v>289.39999999999998</v>
      </c>
      <c r="R238" s="28">
        <v>283</v>
      </c>
      <c r="S238" s="22">
        <v>18820000</v>
      </c>
      <c r="T238" s="7"/>
    </row>
    <row r="239" spans="1:20" x14ac:dyDescent="0.3">
      <c r="A239" s="8"/>
      <c r="B239" s="10">
        <v>46063</v>
      </c>
      <c r="C239" s="12">
        <v>6.6100000000000006E-2</v>
      </c>
      <c r="D239" s="21">
        <v>355.75</v>
      </c>
      <c r="E239" s="21">
        <v>335.05</v>
      </c>
      <c r="F239" s="21">
        <v>359</v>
      </c>
      <c r="G239" s="21">
        <v>333.1</v>
      </c>
      <c r="H239" s="22">
        <v>31080000</v>
      </c>
      <c r="I239" s="17"/>
      <c r="M239" s="10">
        <v>46063</v>
      </c>
      <c r="N239" s="12">
        <v>5.1799999999999999E-2</v>
      </c>
      <c r="O239" s="28">
        <v>303.8</v>
      </c>
      <c r="P239" s="28">
        <v>291</v>
      </c>
      <c r="Q239" s="28">
        <v>308.55</v>
      </c>
      <c r="R239" s="28">
        <v>289.05</v>
      </c>
      <c r="S239" s="22">
        <v>102620000</v>
      </c>
      <c r="T239" s="7"/>
    </row>
    <row r="240" spans="1:20" x14ac:dyDescent="0.3">
      <c r="A240" s="8"/>
      <c r="B240" s="10">
        <v>46064</v>
      </c>
      <c r="C240" s="12">
        <v>-3.78E-2</v>
      </c>
      <c r="D240" s="21">
        <v>342.3</v>
      </c>
      <c r="E240" s="21">
        <v>354.6</v>
      </c>
      <c r="F240" s="21">
        <v>355</v>
      </c>
      <c r="G240" s="21">
        <v>340.4</v>
      </c>
      <c r="H240" s="22">
        <v>8090000</v>
      </c>
      <c r="I240" s="17"/>
      <c r="M240" s="10">
        <v>46064</v>
      </c>
      <c r="N240" s="12">
        <v>-1.0200000000000001E-2</v>
      </c>
      <c r="O240" s="28">
        <v>300.7</v>
      </c>
      <c r="P240" s="28">
        <v>304</v>
      </c>
      <c r="Q240" s="28">
        <v>306.85000000000002</v>
      </c>
      <c r="R240" s="28">
        <v>299.75</v>
      </c>
      <c r="S240" s="22">
        <v>32080000</v>
      </c>
      <c r="T240" s="7"/>
    </row>
    <row r="241" spans="1:20" x14ac:dyDescent="0.3">
      <c r="A241" s="8"/>
      <c r="B241" s="10">
        <v>46065</v>
      </c>
      <c r="C241" s="12">
        <v>-1.4500000000000001E-2</v>
      </c>
      <c r="D241" s="21">
        <v>337.35</v>
      </c>
      <c r="E241" s="21">
        <v>340</v>
      </c>
      <c r="F241" s="21">
        <v>340.6</v>
      </c>
      <c r="G241" s="21">
        <v>328.7</v>
      </c>
      <c r="H241" s="22">
        <v>9460000</v>
      </c>
      <c r="I241" s="17"/>
      <c r="M241" s="10">
        <v>46065</v>
      </c>
      <c r="N241" s="12">
        <v>-8.9999999999999993E-3</v>
      </c>
      <c r="O241" s="28">
        <v>298</v>
      </c>
      <c r="P241" s="28">
        <v>296.2</v>
      </c>
      <c r="Q241" s="28">
        <v>300</v>
      </c>
      <c r="R241" s="28">
        <v>291.39999999999998</v>
      </c>
      <c r="S241" s="22">
        <v>34870000</v>
      </c>
      <c r="T241" s="7"/>
    </row>
    <row r="242" spans="1:20" x14ac:dyDescent="0.3">
      <c r="A242" s="8"/>
      <c r="B242" s="10">
        <v>46066</v>
      </c>
      <c r="C242" s="12">
        <v>8.9999999999999998E-4</v>
      </c>
      <c r="D242" s="21">
        <v>337.65</v>
      </c>
      <c r="E242" s="21">
        <v>337</v>
      </c>
      <c r="F242" s="21">
        <v>341.65</v>
      </c>
      <c r="G242" s="21">
        <v>329.35</v>
      </c>
      <c r="H242" s="22">
        <v>10110000</v>
      </c>
      <c r="I242" s="17"/>
      <c r="M242" s="10">
        <v>46066</v>
      </c>
      <c r="N242" s="12">
        <v>-4.2999999999999997E-2</v>
      </c>
      <c r="O242" s="28">
        <v>285.2</v>
      </c>
      <c r="P242" s="28">
        <v>298</v>
      </c>
      <c r="Q242" s="28">
        <v>300</v>
      </c>
      <c r="R242" s="28">
        <v>283.8</v>
      </c>
      <c r="S242" s="22">
        <v>47580000</v>
      </c>
      <c r="T242" s="7"/>
    </row>
    <row r="243" spans="1:20" x14ac:dyDescent="0.3">
      <c r="A243" s="8"/>
      <c r="B243" s="10">
        <v>46069</v>
      </c>
      <c r="C243" s="12">
        <v>1.29E-2</v>
      </c>
      <c r="D243" s="21">
        <v>342</v>
      </c>
      <c r="E243" s="21">
        <v>337</v>
      </c>
      <c r="F243" s="21">
        <v>343</v>
      </c>
      <c r="G243" s="21">
        <v>333.65</v>
      </c>
      <c r="H243" s="22">
        <v>6960000</v>
      </c>
      <c r="I243" s="17"/>
      <c r="M243" s="10">
        <v>46069</v>
      </c>
      <c r="N243" s="12">
        <v>4.8999999999999998E-3</v>
      </c>
      <c r="O243" s="28">
        <v>286.60000000000002</v>
      </c>
      <c r="P243" s="28">
        <v>285.2</v>
      </c>
      <c r="Q243" s="28">
        <v>289.7</v>
      </c>
      <c r="R243" s="28">
        <v>283.89999999999998</v>
      </c>
      <c r="S243" s="22">
        <v>19960000</v>
      </c>
      <c r="T243" s="7"/>
    </row>
    <row r="244" spans="1:20" x14ac:dyDescent="0.3">
      <c r="A244" s="8"/>
      <c r="B244" s="10">
        <v>46070</v>
      </c>
      <c r="C244" s="12">
        <v>-3.3000000000000002E-2</v>
      </c>
      <c r="D244" s="21">
        <v>330.7</v>
      </c>
      <c r="E244" s="21">
        <v>340</v>
      </c>
      <c r="F244" s="21">
        <v>340</v>
      </c>
      <c r="G244" s="21">
        <v>329.55</v>
      </c>
      <c r="H244" s="22">
        <v>7660000</v>
      </c>
      <c r="I244" s="17"/>
      <c r="M244" s="10">
        <v>46070</v>
      </c>
      <c r="N244" s="12">
        <v>-1.78E-2</v>
      </c>
      <c r="O244" s="28">
        <v>281.5</v>
      </c>
      <c r="P244" s="28">
        <v>284</v>
      </c>
      <c r="Q244" s="28">
        <v>284</v>
      </c>
      <c r="R244" s="28">
        <v>277.35000000000002</v>
      </c>
      <c r="S244" s="22">
        <v>34290000</v>
      </c>
      <c r="T244" s="7"/>
    </row>
    <row r="245" spans="1:20" x14ac:dyDescent="0.3">
      <c r="A245" s="8"/>
      <c r="B245" s="10">
        <v>46071</v>
      </c>
      <c r="C245" s="12">
        <v>9.7999999999999997E-3</v>
      </c>
      <c r="D245" s="21">
        <v>333.95</v>
      </c>
      <c r="E245" s="21">
        <v>333</v>
      </c>
      <c r="F245" s="21">
        <v>337.85</v>
      </c>
      <c r="G245" s="21">
        <v>330</v>
      </c>
      <c r="H245" s="22">
        <v>6010000</v>
      </c>
      <c r="I245" s="17"/>
      <c r="M245" s="10">
        <v>46071</v>
      </c>
      <c r="N245" s="12">
        <v>-1.47E-2</v>
      </c>
      <c r="O245" s="28">
        <v>277.35000000000002</v>
      </c>
      <c r="P245" s="28">
        <v>283.10000000000002</v>
      </c>
      <c r="Q245" s="28">
        <v>284.64999999999998</v>
      </c>
      <c r="R245" s="28">
        <v>273</v>
      </c>
      <c r="S245" s="22">
        <v>35130000</v>
      </c>
      <c r="T245" s="7"/>
    </row>
    <row r="246" spans="1:20" x14ac:dyDescent="0.3">
      <c r="A246" s="8"/>
      <c r="B246" s="10">
        <v>46072</v>
      </c>
      <c r="C246" s="12">
        <v>-2.1899999999999999E-2</v>
      </c>
      <c r="D246" s="21">
        <v>326.64999999999998</v>
      </c>
      <c r="E246" s="21">
        <v>333.95</v>
      </c>
      <c r="F246" s="21">
        <v>337.8</v>
      </c>
      <c r="G246" s="21">
        <v>325</v>
      </c>
      <c r="H246" s="22">
        <v>5700000</v>
      </c>
      <c r="I246" s="17"/>
      <c r="M246" s="10">
        <v>46072</v>
      </c>
      <c r="N246" s="12">
        <v>-2.0199999999999999E-2</v>
      </c>
      <c r="O246" s="28">
        <v>271.75</v>
      </c>
      <c r="P246" s="28">
        <v>277.35000000000002</v>
      </c>
      <c r="Q246" s="28">
        <v>279.8</v>
      </c>
      <c r="R246" s="28">
        <v>269.85000000000002</v>
      </c>
      <c r="S246" s="22">
        <v>23970000</v>
      </c>
      <c r="T246" s="7"/>
    </row>
    <row r="247" spans="1:20" x14ac:dyDescent="0.3">
      <c r="A247" s="8"/>
      <c r="B247" s="10">
        <v>46073</v>
      </c>
      <c r="C247" s="12">
        <v>-8.6999999999999994E-3</v>
      </c>
      <c r="D247" s="21">
        <v>323.8</v>
      </c>
      <c r="E247" s="21">
        <v>323.5</v>
      </c>
      <c r="F247" s="21">
        <v>328.7</v>
      </c>
      <c r="G247" s="21">
        <v>322.14999999999998</v>
      </c>
      <c r="H247" s="22">
        <v>6450000</v>
      </c>
      <c r="I247" s="17"/>
      <c r="M247" s="10">
        <v>46073</v>
      </c>
      <c r="N247" s="12">
        <v>-8.5000000000000006E-3</v>
      </c>
      <c r="O247" s="28">
        <v>269.45</v>
      </c>
      <c r="P247" s="28">
        <v>270.8</v>
      </c>
      <c r="Q247" s="28">
        <v>272.5</v>
      </c>
      <c r="R247" s="28">
        <v>267.85000000000002</v>
      </c>
      <c r="S247" s="22">
        <v>19320000</v>
      </c>
      <c r="T247" s="7"/>
    </row>
    <row r="248" spans="1:20" x14ac:dyDescent="0.3">
      <c r="A248" s="8"/>
      <c r="B248" s="10">
        <v>46076</v>
      </c>
      <c r="C248" s="12">
        <v>-8.3000000000000001E-3</v>
      </c>
      <c r="D248" s="21">
        <v>321.10000000000002</v>
      </c>
      <c r="E248" s="21">
        <v>324</v>
      </c>
      <c r="F248" s="21">
        <v>324.89999999999998</v>
      </c>
      <c r="G248" s="21">
        <v>317.89999999999998</v>
      </c>
      <c r="H248" s="22">
        <v>5740000</v>
      </c>
      <c r="I248" s="17"/>
      <c r="M248" s="10">
        <v>46076</v>
      </c>
      <c r="N248" s="12">
        <v>-5.4000000000000003E-3</v>
      </c>
      <c r="O248" s="28">
        <v>268</v>
      </c>
      <c r="P248" s="28">
        <v>270.25</v>
      </c>
      <c r="Q248" s="28">
        <v>271.75</v>
      </c>
      <c r="R248" s="28">
        <v>264.85000000000002</v>
      </c>
      <c r="S248" s="22">
        <v>34450000</v>
      </c>
      <c r="T248" s="7"/>
    </row>
    <row r="249" spans="1:20" x14ac:dyDescent="0.3">
      <c r="A249" s="8"/>
      <c r="B249" s="10">
        <v>46077</v>
      </c>
      <c r="C249" s="12">
        <v>-2.2100000000000002E-2</v>
      </c>
      <c r="D249" s="21">
        <v>314</v>
      </c>
      <c r="E249" s="21">
        <v>318.2</v>
      </c>
      <c r="F249" s="21">
        <v>322.35000000000002</v>
      </c>
      <c r="G249" s="21">
        <v>310.55</v>
      </c>
      <c r="H249" s="22">
        <v>7340000</v>
      </c>
      <c r="I249" s="17"/>
      <c r="M249" s="10">
        <v>46077</v>
      </c>
      <c r="N249" s="12">
        <v>-5.2200000000000003E-2</v>
      </c>
      <c r="O249" s="28">
        <v>254</v>
      </c>
      <c r="P249" s="28">
        <v>260</v>
      </c>
      <c r="Q249" s="28">
        <v>264.89999999999998</v>
      </c>
      <c r="R249" s="28">
        <v>251.8</v>
      </c>
      <c r="S249" s="22">
        <v>76840000</v>
      </c>
      <c r="T249" s="7"/>
    </row>
    <row r="250" spans="1:20" x14ac:dyDescent="0.3">
      <c r="A250" s="8"/>
      <c r="B250" s="10">
        <v>46078</v>
      </c>
      <c r="C250" s="12">
        <v>-2.1000000000000001E-2</v>
      </c>
      <c r="D250" s="21">
        <v>307.39999999999998</v>
      </c>
      <c r="E250" s="21">
        <v>316.05</v>
      </c>
      <c r="F250" s="21">
        <v>317.60000000000002</v>
      </c>
      <c r="G250" s="21">
        <v>304</v>
      </c>
      <c r="H250" s="22">
        <v>10520000</v>
      </c>
      <c r="I250" s="17"/>
      <c r="M250" s="10">
        <v>46078</v>
      </c>
      <c r="N250" s="12">
        <v>-1.4999999999999999E-2</v>
      </c>
      <c r="O250" s="28">
        <v>250.2</v>
      </c>
      <c r="P250" s="28">
        <v>255.2</v>
      </c>
      <c r="Q250" s="28">
        <v>256.60000000000002</v>
      </c>
      <c r="R250" s="28">
        <v>249.45</v>
      </c>
      <c r="S250" s="22">
        <v>103390000</v>
      </c>
      <c r="T250" s="7"/>
    </row>
    <row r="251" spans="1:20" x14ac:dyDescent="0.3">
      <c r="A251" s="8"/>
      <c r="B251" s="10">
        <v>46079</v>
      </c>
      <c r="C251" s="12">
        <v>-1.1000000000000001E-3</v>
      </c>
      <c r="D251" s="21">
        <v>307.05</v>
      </c>
      <c r="E251" s="21">
        <v>309</v>
      </c>
      <c r="F251" s="21">
        <v>311.89999999999998</v>
      </c>
      <c r="G251" s="21">
        <v>304.75</v>
      </c>
      <c r="H251" s="22">
        <v>7870000</v>
      </c>
      <c r="I251" s="17"/>
      <c r="M251" s="10">
        <v>46079</v>
      </c>
      <c r="N251" s="12">
        <v>-1.4800000000000001E-2</v>
      </c>
      <c r="O251" s="28">
        <v>246.5</v>
      </c>
      <c r="P251" s="28">
        <v>251.55</v>
      </c>
      <c r="Q251" s="28">
        <v>254.7</v>
      </c>
      <c r="R251" s="28">
        <v>246</v>
      </c>
      <c r="S251" s="22">
        <v>76800000</v>
      </c>
      <c r="T251" s="7"/>
    </row>
    <row r="252" spans="1:20" ht="15" thickBot="1" x14ac:dyDescent="0.35">
      <c r="A252" s="8"/>
      <c r="B252" s="14">
        <v>46080</v>
      </c>
      <c r="C252" s="23">
        <v>-1.7299999999999999E-2</v>
      </c>
      <c r="D252" s="24">
        <v>301.75</v>
      </c>
      <c r="E252" s="24">
        <v>308</v>
      </c>
      <c r="F252" s="24">
        <v>308.5</v>
      </c>
      <c r="G252" s="24">
        <v>298.35000000000002</v>
      </c>
      <c r="H252" s="25">
        <v>13690000</v>
      </c>
      <c r="I252" s="17"/>
      <c r="M252" s="14">
        <v>46080</v>
      </c>
      <c r="N252" s="23">
        <v>-8.0000000000000004E-4</v>
      </c>
      <c r="O252" s="29">
        <v>246.3</v>
      </c>
      <c r="P252" s="29">
        <v>246.05</v>
      </c>
      <c r="Q252" s="29">
        <v>252</v>
      </c>
      <c r="R252" s="29">
        <v>243.75</v>
      </c>
      <c r="S252" s="25">
        <v>57270000</v>
      </c>
      <c r="T252" s="7"/>
    </row>
    <row r="253" spans="1:20" x14ac:dyDescent="0.3">
      <c r="B253" s="13"/>
      <c r="C253" s="13"/>
      <c r="D253" s="13"/>
      <c r="E253" s="13"/>
      <c r="F253" s="13"/>
      <c r="G253" s="13"/>
      <c r="H253" s="13"/>
      <c r="M253" s="13"/>
      <c r="N253" s="13"/>
      <c r="O253" s="13"/>
      <c r="P253" s="13"/>
      <c r="Q253" s="13"/>
      <c r="R253" s="13"/>
      <c r="S253" s="13"/>
    </row>
    <row r="255" spans="1:20" x14ac:dyDescent="0.3">
      <c r="C255" s="5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5"/>
      <c r="Q255" s="5"/>
      <c r="R255" s="5"/>
    </row>
  </sheetData>
  <sortState xmlns:xlrd2="http://schemas.microsoft.com/office/spreadsheetml/2017/richdata2" ref="M4:S252">
    <sortCondition ref="M4:M252"/>
  </sortState>
  <mergeCells count="2">
    <mergeCell ref="B2:H2"/>
    <mergeCell ref="M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54D5-05D4-473D-ABC2-D53D3858D033}">
  <dimension ref="A3:S14"/>
  <sheetViews>
    <sheetView workbookViewId="0">
      <selection activeCell="F17" sqref="F17"/>
    </sheetView>
  </sheetViews>
  <sheetFormatPr defaultRowHeight="14.4" x14ac:dyDescent="0.3"/>
  <cols>
    <col min="1" max="1" width="15" style="2" bestFit="1" customWidth="1"/>
    <col min="2" max="2" width="8.88671875" style="2"/>
    <col min="3" max="3" width="10.5546875" style="2" bestFit="1" customWidth="1"/>
    <col min="4" max="4" width="8.88671875" style="2"/>
    <col min="5" max="5" width="10.5546875" style="2" bestFit="1" customWidth="1"/>
    <col min="6" max="6" width="18.33203125" style="2" bestFit="1" customWidth="1"/>
    <col min="7" max="7" width="14.109375" style="2" customWidth="1"/>
    <col min="8" max="8" width="14.44140625" style="2" bestFit="1" customWidth="1"/>
    <col min="9" max="9" width="13.88671875" style="2" customWidth="1"/>
    <col min="10" max="10" width="14.6640625" style="2" customWidth="1"/>
    <col min="11" max="12" width="12.21875" style="2" bestFit="1" customWidth="1"/>
    <col min="13" max="13" width="16.33203125" style="2" customWidth="1"/>
    <col min="14" max="14" width="12.33203125" style="2" bestFit="1" customWidth="1"/>
    <col min="15" max="16384" width="8.88671875" style="2"/>
  </cols>
  <sheetData>
    <row r="3" spans="1:19" ht="23.4" x14ac:dyDescent="0.45">
      <c r="B3" s="48"/>
      <c r="D3" s="48"/>
      <c r="E3" s="77" t="s">
        <v>6</v>
      </c>
      <c r="F3" s="77"/>
      <c r="G3" s="77"/>
      <c r="H3" s="77"/>
      <c r="I3" s="77"/>
      <c r="J3" s="77"/>
      <c r="K3" s="77"/>
      <c r="L3" s="77"/>
      <c r="M3" s="77"/>
      <c r="N3" s="77"/>
      <c r="O3" s="48"/>
      <c r="P3" s="48"/>
      <c r="Q3" s="48"/>
      <c r="R3" s="48"/>
      <c r="S3" s="48"/>
    </row>
    <row r="4" spans="1:19" x14ac:dyDescent="0.3">
      <c r="F4" s="32"/>
      <c r="G4" s="32"/>
      <c r="H4" s="32"/>
      <c r="I4" s="32"/>
      <c r="J4" s="32"/>
      <c r="K4" s="32"/>
      <c r="L4" s="32"/>
      <c r="M4" s="32"/>
    </row>
    <row r="5" spans="1:19" s="49" customFormat="1" ht="21" x14ac:dyDescent="0.4">
      <c r="A5" s="2"/>
      <c r="B5" s="2"/>
      <c r="E5" s="52"/>
      <c r="F5" s="54" t="s">
        <v>7</v>
      </c>
      <c r="G5" s="55">
        <v>2021</v>
      </c>
      <c r="H5" s="55">
        <v>2022</v>
      </c>
      <c r="I5" s="55">
        <v>2023</v>
      </c>
      <c r="J5" s="55">
        <v>2024</v>
      </c>
      <c r="K5" s="55">
        <v>2025</v>
      </c>
      <c r="L5" s="56"/>
      <c r="M5" s="57" t="s">
        <v>9</v>
      </c>
      <c r="N5" s="53"/>
    </row>
    <row r="6" spans="1:19" s="49" customFormat="1" ht="21" x14ac:dyDescent="0.4">
      <c r="A6" s="2"/>
      <c r="B6" s="2"/>
      <c r="E6" s="52"/>
      <c r="F6" s="54" t="s">
        <v>8</v>
      </c>
      <c r="G6" s="58">
        <v>0.1051</v>
      </c>
      <c r="H6" s="58">
        <v>8.7499999999999994E-2</v>
      </c>
      <c r="I6" s="58">
        <v>0.19420000000000001</v>
      </c>
      <c r="J6" s="58">
        <v>4.3200000000000002E-2</v>
      </c>
      <c r="K6" s="58">
        <v>0.2412</v>
      </c>
      <c r="L6" s="56"/>
      <c r="M6" s="59">
        <f>AVERAGE(G6:K6)</f>
        <v>0.13424</v>
      </c>
      <c r="N6" s="53"/>
    </row>
    <row r="7" spans="1:19" x14ac:dyDescent="0.3">
      <c r="F7" s="13"/>
      <c r="G7" s="13"/>
      <c r="H7" s="13"/>
      <c r="I7" s="13"/>
      <c r="J7" s="13"/>
      <c r="K7" s="13"/>
      <c r="L7" s="13"/>
      <c r="M7" s="13"/>
    </row>
    <row r="9" spans="1:19" ht="36.6" x14ac:dyDescent="0.7">
      <c r="G9" s="78" t="s">
        <v>11</v>
      </c>
      <c r="H9" s="78"/>
      <c r="I9" s="78"/>
      <c r="J9" s="78"/>
      <c r="K9" s="78"/>
      <c r="L9" s="78"/>
    </row>
    <row r="10" spans="1:19" x14ac:dyDescent="0.3">
      <c r="H10" s="32"/>
      <c r="I10" s="32"/>
      <c r="J10" s="32"/>
    </row>
    <row r="11" spans="1:19" s="3" customFormat="1" x14ac:dyDescent="0.3">
      <c r="G11" s="38"/>
      <c r="H11" s="35" t="s">
        <v>15</v>
      </c>
      <c r="I11" s="35" t="s">
        <v>14</v>
      </c>
      <c r="J11" s="35" t="s">
        <v>16</v>
      </c>
      <c r="K11" s="47"/>
      <c r="L11" s="50" t="s">
        <v>17</v>
      </c>
    </row>
    <row r="12" spans="1:19" x14ac:dyDescent="0.3">
      <c r="F12" s="8"/>
      <c r="G12" s="60" t="s">
        <v>12</v>
      </c>
      <c r="H12" s="61">
        <v>1.31</v>
      </c>
      <c r="I12" s="62">
        <v>6.6869999999999999E-2</v>
      </c>
      <c r="J12" s="63">
        <v>0.13424</v>
      </c>
      <c r="K12" s="7"/>
      <c r="L12" s="51">
        <f>I12+H12*(J12-I12)</f>
        <v>0.1551247</v>
      </c>
    </row>
    <row r="13" spans="1:19" x14ac:dyDescent="0.3">
      <c r="F13" s="8"/>
      <c r="G13" s="60" t="s">
        <v>13</v>
      </c>
      <c r="H13" s="61">
        <v>1.07</v>
      </c>
      <c r="I13" s="62">
        <v>6.6869999999999999E-2</v>
      </c>
      <c r="J13" s="63">
        <v>0.13424</v>
      </c>
      <c r="K13" s="7"/>
      <c r="L13" s="51">
        <f>I13+H13*(J13-I13)</f>
        <v>0.13895590000000002</v>
      </c>
    </row>
    <row r="14" spans="1:19" x14ac:dyDescent="0.3">
      <c r="G14" s="13"/>
      <c r="H14" s="13"/>
      <c r="I14" s="13"/>
      <c r="J14" s="13"/>
    </row>
  </sheetData>
  <mergeCells count="2">
    <mergeCell ref="E3:N3"/>
    <mergeCell ref="G9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6179-E3B7-4C57-85F5-FE0C8EA3E927}">
  <dimension ref="B3:F13"/>
  <sheetViews>
    <sheetView zoomScale="127" workbookViewId="0">
      <selection activeCell="C17" sqref="C17"/>
    </sheetView>
  </sheetViews>
  <sheetFormatPr defaultRowHeight="14.4" x14ac:dyDescent="0.3"/>
  <cols>
    <col min="1" max="2" width="8.88671875" style="2"/>
    <col min="3" max="3" width="19.6640625" style="2" bestFit="1" customWidth="1"/>
    <col min="4" max="4" width="18.6640625" style="2" bestFit="1" customWidth="1"/>
    <col min="5" max="5" width="18.21875" style="2" bestFit="1" customWidth="1"/>
    <col min="6" max="16384" width="8.88671875" style="2"/>
  </cols>
  <sheetData>
    <row r="3" spans="2:6" ht="25.8" x14ac:dyDescent="0.5">
      <c r="C3" s="79" t="s">
        <v>20</v>
      </c>
      <c r="D3" s="79"/>
      <c r="E3" s="79"/>
    </row>
    <row r="4" spans="2:6" x14ac:dyDescent="0.3">
      <c r="D4" s="32"/>
      <c r="E4" s="32"/>
    </row>
    <row r="5" spans="2:6" x14ac:dyDescent="0.3">
      <c r="C5" s="38"/>
      <c r="D5" s="35" t="s">
        <v>18</v>
      </c>
      <c r="E5" s="35" t="s">
        <v>19</v>
      </c>
      <c r="F5" s="7"/>
    </row>
    <row r="6" spans="2:6" x14ac:dyDescent="0.3">
      <c r="B6" s="8"/>
      <c r="C6" s="35" t="s">
        <v>25</v>
      </c>
      <c r="D6" s="36">
        <v>1.0999999999999999E-2</v>
      </c>
      <c r="E6" s="36">
        <v>1.1679999999999999E-2</v>
      </c>
      <c r="F6" s="7"/>
    </row>
    <row r="7" spans="2:6" x14ac:dyDescent="0.3">
      <c r="B7" s="8"/>
      <c r="C7" s="35" t="s">
        <v>21</v>
      </c>
      <c r="D7" s="37">
        <v>39.756035119017142</v>
      </c>
      <c r="E7" s="37">
        <v>40.563049730626851</v>
      </c>
      <c r="F7" s="7"/>
    </row>
    <row r="8" spans="2:6" x14ac:dyDescent="0.3">
      <c r="B8" s="8"/>
      <c r="C8" s="35" t="s">
        <v>22</v>
      </c>
      <c r="D8" s="36">
        <v>2.2100000000000002E-2</v>
      </c>
      <c r="E8" s="36">
        <v>2.4199999999999999E-2</v>
      </c>
      <c r="F8" s="7"/>
    </row>
    <row r="9" spans="2:6" x14ac:dyDescent="0.3">
      <c r="C9" s="13"/>
      <c r="D9" s="13"/>
      <c r="E9" s="13"/>
    </row>
    <row r="10" spans="2:6" x14ac:dyDescent="0.3">
      <c r="D10" s="32"/>
      <c r="E10" s="32"/>
    </row>
    <row r="11" spans="2:6" x14ac:dyDescent="0.3">
      <c r="C11" s="8"/>
      <c r="D11" s="35" t="s">
        <v>23</v>
      </c>
      <c r="E11" s="35" t="s">
        <v>24</v>
      </c>
      <c r="F11" s="7"/>
    </row>
    <row r="12" spans="2:6" x14ac:dyDescent="0.3">
      <c r="C12" s="8"/>
      <c r="D12" s="39">
        <v>2.8731924404445106E-4</v>
      </c>
      <c r="E12" s="39">
        <f>CORREL('Historical Data'!C4:C252,'Historical Data'!N4:N252)</f>
        <v>0.54119672029116495</v>
      </c>
      <c r="F12" s="7"/>
    </row>
    <row r="13" spans="2:6" x14ac:dyDescent="0.3">
      <c r="D13" s="13"/>
      <c r="E13" s="13"/>
    </row>
  </sheetData>
  <mergeCells count="1">
    <mergeCell ref="C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A9A5-DB50-4FCD-AB7E-A5A1A68AEEBE}">
  <dimension ref="A1:R254"/>
  <sheetViews>
    <sheetView tabSelected="1" zoomScale="85" workbookViewId="0">
      <selection activeCell="N3" sqref="N3:R5"/>
    </sheetView>
  </sheetViews>
  <sheetFormatPr defaultRowHeight="14.4" x14ac:dyDescent="0.3"/>
  <cols>
    <col min="1" max="1" width="8.88671875" style="2"/>
    <col min="2" max="2" width="16.88671875" style="2" customWidth="1"/>
    <col min="3" max="3" width="13.88671875" style="2" customWidth="1"/>
    <col min="4" max="4" width="12.44140625" style="2" customWidth="1"/>
    <col min="5" max="12" width="8.88671875" style="2"/>
    <col min="13" max="13" width="4.33203125" style="2" customWidth="1"/>
    <col min="14" max="14" width="8.88671875" style="2"/>
    <col min="15" max="15" width="14.44140625" style="2" customWidth="1"/>
    <col min="16" max="16" width="12.109375" style="2" bestFit="1" customWidth="1"/>
    <col min="17" max="17" width="10" style="2" bestFit="1" customWidth="1"/>
    <col min="18" max="18" width="11" style="2" bestFit="1" customWidth="1"/>
    <col min="19" max="16384" width="8.88671875" style="2"/>
  </cols>
  <sheetData>
    <row r="1" spans="1:18" ht="21.6" thickBot="1" x14ac:dyDescent="0.45">
      <c r="F1" s="90" t="s">
        <v>37</v>
      </c>
      <c r="G1" s="91"/>
      <c r="H1" s="90" t="s">
        <v>38</v>
      </c>
      <c r="I1" s="91"/>
      <c r="J1" s="90" t="s">
        <v>39</v>
      </c>
      <c r="K1" s="91"/>
    </row>
    <row r="2" spans="1:18" ht="18" thickBot="1" x14ac:dyDescent="0.35">
      <c r="B2" s="44"/>
      <c r="C2" s="44" t="s">
        <v>29</v>
      </c>
      <c r="D2" s="44" t="s">
        <v>10</v>
      </c>
      <c r="E2" s="8"/>
      <c r="F2" s="40" t="s">
        <v>31</v>
      </c>
      <c r="G2" s="41" t="s">
        <v>32</v>
      </c>
      <c r="H2" s="40" t="s">
        <v>33</v>
      </c>
      <c r="I2" s="41" t="s">
        <v>34</v>
      </c>
      <c r="J2" s="40" t="s">
        <v>35</v>
      </c>
      <c r="K2" s="41" t="s">
        <v>36</v>
      </c>
      <c r="L2" s="7"/>
      <c r="P2" s="42" t="s">
        <v>37</v>
      </c>
      <c r="Q2" s="42" t="s">
        <v>38</v>
      </c>
      <c r="R2" s="42" t="s">
        <v>39</v>
      </c>
    </row>
    <row r="3" spans="1:18" ht="15" thickBot="1" x14ac:dyDescent="0.35">
      <c r="A3" s="8"/>
      <c r="B3" s="44" t="s">
        <v>26</v>
      </c>
      <c r="C3" s="44" t="s">
        <v>27</v>
      </c>
      <c r="D3" s="44" t="s">
        <v>28</v>
      </c>
      <c r="E3" s="8"/>
      <c r="F3" s="81" t="s">
        <v>30</v>
      </c>
      <c r="G3" s="82"/>
      <c r="H3" s="81" t="s">
        <v>30</v>
      </c>
      <c r="I3" s="83"/>
      <c r="J3" s="84" t="s">
        <v>30</v>
      </c>
      <c r="K3" s="83"/>
      <c r="L3" s="7"/>
      <c r="N3" s="92" t="s">
        <v>49</v>
      </c>
      <c r="O3" s="93"/>
      <c r="P3" s="34">
        <f>SQRT((POWER(0.3, 2) * POWER($C253, 2)) + (POWER(0.7, 2) * POWER($D253, 2)) + (2 * 0.3 * 0.7 * $C254))</f>
        <v>2.0306203166323311E-2</v>
      </c>
      <c r="Q3" s="34">
        <f>SQRT((POWER(0.4, 2) * POWER($C253, 2)) + (POWER(0.6, 2) * POWER($D253, 2)) + (2 * 0.4* 0.6 * $C254))</f>
        <v>2.0178115348900984E-2</v>
      </c>
      <c r="R3" s="34">
        <f>SQRT((POWER(0.5, 2) * POWER($C253, 2)) + (POWER(0.5, 2) * POWER($D253, 2)) + (2 * 0.5 * 0.5 * $C254))</f>
        <v>2.0293835214184607E-2</v>
      </c>
    </row>
    <row r="4" spans="1:18" x14ac:dyDescent="0.3">
      <c r="B4" s="43">
        <v>45715</v>
      </c>
      <c r="C4" s="5">
        <v>-0.03</v>
      </c>
      <c r="D4" s="5">
        <v>1.5100000000000001E-2</v>
      </c>
      <c r="F4" s="85">
        <f>C4*0.3+D4*0.7</f>
        <v>1.5700000000000002E-3</v>
      </c>
      <c r="G4" s="86"/>
      <c r="H4" s="87">
        <f>0.4*C4+D4*0.6</f>
        <v>-2.9399999999999999E-3</v>
      </c>
      <c r="I4" s="88"/>
      <c r="J4" s="87">
        <f>0.5*C4+0.5*D4</f>
        <v>-7.4499999999999992E-3</v>
      </c>
      <c r="K4" s="88"/>
      <c r="N4" s="92" t="s">
        <v>41</v>
      </c>
      <c r="O4" s="93"/>
      <c r="P4" s="30">
        <f>AVERAGE(F4:G252)</f>
        <v>3.0598393574297205E-4</v>
      </c>
      <c r="Q4" s="30">
        <f>AVERAGE(H4:I252)</f>
        <v>2.0971887550200939E-4</v>
      </c>
      <c r="R4" s="30">
        <f>AVERAGE(J4:K252)</f>
        <v>1.1345381526104339E-4</v>
      </c>
    </row>
    <row r="5" spans="1:18" x14ac:dyDescent="0.3">
      <c r="B5" s="4">
        <v>45716</v>
      </c>
      <c r="C5" s="5">
        <v>-2.8500000000000001E-2</v>
      </c>
      <c r="D5" s="5">
        <v>-3.0300000000000001E-2</v>
      </c>
      <c r="E5" s="8"/>
      <c r="F5" s="80">
        <f t="shared" ref="F5:F68" si="0">C5*0.3+D5*0.7</f>
        <v>-2.9760000000000002E-2</v>
      </c>
      <c r="G5" s="80"/>
      <c r="H5" s="89">
        <f t="shared" ref="H5:H68" si="1">0.4*C5+D5*0.6</f>
        <v>-2.9579999999999999E-2</v>
      </c>
      <c r="I5" s="89"/>
      <c r="J5" s="89">
        <f t="shared" ref="J5:J68" si="2">0.5*C5+0.5*D5</f>
        <v>-2.9400000000000003E-2</v>
      </c>
      <c r="K5" s="89"/>
      <c r="L5" s="7"/>
      <c r="N5" s="92" t="s">
        <v>42</v>
      </c>
      <c r="O5" s="93"/>
      <c r="P5" s="31">
        <f>POWER((1+P4),240)-1</f>
        <v>7.618772456278422E-2</v>
      </c>
      <c r="Q5" s="31">
        <f t="shared" ref="Q5:R5" si="3">POWER((1+Q4),240)-1</f>
        <v>5.1615184313301254E-2</v>
      </c>
      <c r="R5" s="31">
        <f t="shared" si="3"/>
        <v>2.7601423138261083E-2</v>
      </c>
    </row>
    <row r="6" spans="1:18" x14ac:dyDescent="0.3">
      <c r="B6" s="4">
        <v>45719</v>
      </c>
      <c r="C6" s="5">
        <v>-2.5000000000000001E-2</v>
      </c>
      <c r="D6" s="5">
        <v>2.0000000000000001E-4</v>
      </c>
      <c r="E6" s="8"/>
      <c r="F6" s="80">
        <f t="shared" si="0"/>
        <v>-7.3599999999999994E-3</v>
      </c>
      <c r="G6" s="80"/>
      <c r="H6" s="89">
        <f t="shared" si="1"/>
        <v>-9.8800000000000016E-3</v>
      </c>
      <c r="I6" s="89"/>
      <c r="J6" s="89">
        <f t="shared" si="2"/>
        <v>-1.2400000000000001E-2</v>
      </c>
      <c r="K6" s="89"/>
      <c r="L6" s="7"/>
    </row>
    <row r="7" spans="1:18" x14ac:dyDescent="0.3">
      <c r="B7" s="4">
        <v>45720</v>
      </c>
      <c r="C7" s="5">
        <v>7.2800000000000004E-2</v>
      </c>
      <c r="D7" s="5">
        <v>2.46E-2</v>
      </c>
      <c r="E7" s="8"/>
      <c r="F7" s="80">
        <f t="shared" si="0"/>
        <v>3.9059999999999997E-2</v>
      </c>
      <c r="G7" s="80"/>
      <c r="H7" s="89">
        <f t="shared" si="1"/>
        <v>4.3880000000000002E-2</v>
      </c>
      <c r="I7" s="89"/>
      <c r="J7" s="89">
        <f t="shared" si="2"/>
        <v>4.87E-2</v>
      </c>
      <c r="K7" s="89"/>
      <c r="L7" s="7"/>
    </row>
    <row r="8" spans="1:18" x14ac:dyDescent="0.3">
      <c r="B8" s="4">
        <v>45721</v>
      </c>
      <c r="C8" s="5">
        <v>2.41E-2</v>
      </c>
      <c r="D8" s="5">
        <v>-2.5999999999999999E-3</v>
      </c>
      <c r="E8" s="8"/>
      <c r="F8" s="80">
        <f t="shared" si="0"/>
        <v>5.4099999999999999E-3</v>
      </c>
      <c r="G8" s="80"/>
      <c r="H8" s="89">
        <f t="shared" si="1"/>
        <v>8.0800000000000004E-3</v>
      </c>
      <c r="I8" s="89"/>
      <c r="J8" s="89">
        <f t="shared" si="2"/>
        <v>1.0749999999999999E-2</v>
      </c>
      <c r="K8" s="89"/>
      <c r="L8" s="7"/>
    </row>
    <row r="9" spans="1:18" x14ac:dyDescent="0.3">
      <c r="B9" s="4">
        <v>45722</v>
      </c>
      <c r="C9" s="5">
        <v>1.1299999999999999E-2</v>
      </c>
      <c r="D9" s="5">
        <v>-7.0000000000000001E-3</v>
      </c>
      <c r="E9" s="8"/>
      <c r="F9" s="80">
        <f t="shared" si="0"/>
        <v>-1.5100000000000001E-3</v>
      </c>
      <c r="G9" s="80"/>
      <c r="H9" s="89">
        <f t="shared" si="1"/>
        <v>3.1999999999999997E-4</v>
      </c>
      <c r="I9" s="89"/>
      <c r="J9" s="89">
        <f t="shared" si="2"/>
        <v>2.1499999999999996E-3</v>
      </c>
      <c r="K9" s="89"/>
      <c r="L9" s="7"/>
    </row>
    <row r="10" spans="1:18" x14ac:dyDescent="0.3">
      <c r="B10" s="4">
        <v>45723</v>
      </c>
      <c r="C10" s="5">
        <v>-4.4000000000000003E-3</v>
      </c>
      <c r="D10" s="5">
        <v>-3.8100000000000002E-2</v>
      </c>
      <c r="E10" s="8"/>
      <c r="F10" s="80">
        <f t="shared" si="0"/>
        <v>-2.7990000000000001E-2</v>
      </c>
      <c r="G10" s="80"/>
      <c r="H10" s="89">
        <f t="shared" si="1"/>
        <v>-2.4620000000000003E-2</v>
      </c>
      <c r="I10" s="89"/>
      <c r="J10" s="89">
        <f t="shared" si="2"/>
        <v>-2.1250000000000002E-2</v>
      </c>
      <c r="K10" s="89"/>
      <c r="L10" s="7"/>
    </row>
    <row r="11" spans="1:18" x14ac:dyDescent="0.3">
      <c r="B11" s="4">
        <v>45726</v>
      </c>
      <c r="C11" s="5">
        <v>-3.5999999999999999E-3</v>
      </c>
      <c r="D11" s="5">
        <v>-2.5600000000000001E-2</v>
      </c>
      <c r="E11" s="8"/>
      <c r="F11" s="80">
        <f t="shared" si="0"/>
        <v>-1.9E-2</v>
      </c>
      <c r="G11" s="80"/>
      <c r="H11" s="89">
        <f t="shared" si="1"/>
        <v>-1.6799999999999999E-2</v>
      </c>
      <c r="I11" s="89"/>
      <c r="J11" s="89">
        <f t="shared" si="2"/>
        <v>-1.46E-2</v>
      </c>
      <c r="K11" s="89"/>
      <c r="L11" s="7"/>
    </row>
    <row r="12" spans="1:18" x14ac:dyDescent="0.3">
      <c r="B12" s="4">
        <v>45727</v>
      </c>
      <c r="C12" s="5">
        <v>-1.89E-2</v>
      </c>
      <c r="D12" s="5">
        <v>-1.52E-2</v>
      </c>
      <c r="E12" s="8"/>
      <c r="F12" s="80">
        <f t="shared" si="0"/>
        <v>-1.6309999999999998E-2</v>
      </c>
      <c r="G12" s="80"/>
      <c r="H12" s="89">
        <f t="shared" si="1"/>
        <v>-1.668E-2</v>
      </c>
      <c r="I12" s="89"/>
      <c r="J12" s="89">
        <f t="shared" si="2"/>
        <v>-1.7049999999999999E-2</v>
      </c>
      <c r="K12" s="89"/>
      <c r="L12" s="7"/>
    </row>
    <row r="13" spans="1:18" x14ac:dyDescent="0.3">
      <c r="B13" s="4">
        <v>45728</v>
      </c>
      <c r="C13" s="5">
        <v>-1.15E-2</v>
      </c>
      <c r="D13" s="5">
        <v>-1.2500000000000001E-2</v>
      </c>
      <c r="E13" s="8"/>
      <c r="F13" s="80">
        <f t="shared" si="0"/>
        <v>-1.2199999999999999E-2</v>
      </c>
      <c r="G13" s="80"/>
      <c r="H13" s="89">
        <f t="shared" si="1"/>
        <v>-1.21E-2</v>
      </c>
      <c r="I13" s="89"/>
      <c r="J13" s="89">
        <f t="shared" si="2"/>
        <v>-1.2E-2</v>
      </c>
      <c r="K13" s="89"/>
      <c r="L13" s="7"/>
    </row>
    <row r="14" spans="1:18" x14ac:dyDescent="0.3">
      <c r="B14" s="4">
        <v>45729</v>
      </c>
      <c r="C14" s="5">
        <v>1.26E-2</v>
      </c>
      <c r="D14" s="5">
        <v>-1.9599999999999999E-2</v>
      </c>
      <c r="E14" s="8"/>
      <c r="F14" s="80">
        <f t="shared" si="0"/>
        <v>-9.9399999999999974E-3</v>
      </c>
      <c r="G14" s="80"/>
      <c r="H14" s="89">
        <f t="shared" si="1"/>
        <v>-6.7199999999999994E-3</v>
      </c>
      <c r="I14" s="89"/>
      <c r="J14" s="89">
        <f t="shared" si="2"/>
        <v>-3.4999999999999996E-3</v>
      </c>
      <c r="K14" s="89"/>
      <c r="L14" s="7"/>
    </row>
    <row r="15" spans="1:18" x14ac:dyDescent="0.3">
      <c r="B15" s="4">
        <v>45733</v>
      </c>
      <c r="C15" s="5">
        <v>4.1999999999999997E-3</v>
      </c>
      <c r="D15" s="5">
        <v>1.12E-2</v>
      </c>
      <c r="E15" s="8"/>
      <c r="F15" s="80">
        <f t="shared" si="0"/>
        <v>9.1000000000000004E-3</v>
      </c>
      <c r="G15" s="80"/>
      <c r="H15" s="89">
        <f t="shared" si="1"/>
        <v>8.3999999999999995E-3</v>
      </c>
      <c r="I15" s="89"/>
      <c r="J15" s="89">
        <f t="shared" si="2"/>
        <v>7.7000000000000002E-3</v>
      </c>
      <c r="K15" s="89"/>
      <c r="L15" s="7"/>
    </row>
    <row r="16" spans="1:18" x14ac:dyDescent="0.3">
      <c r="B16" s="4">
        <v>45734</v>
      </c>
      <c r="C16" s="5">
        <v>3.8E-3</v>
      </c>
      <c r="D16" s="5">
        <v>7.1199999999999999E-2</v>
      </c>
      <c r="E16" s="8"/>
      <c r="F16" s="80">
        <f t="shared" si="0"/>
        <v>5.0979999999999998E-2</v>
      </c>
      <c r="G16" s="80"/>
      <c r="H16" s="89">
        <f t="shared" si="1"/>
        <v>4.4240000000000002E-2</v>
      </c>
      <c r="I16" s="89"/>
      <c r="J16" s="89">
        <f t="shared" si="2"/>
        <v>3.7499999999999999E-2</v>
      </c>
      <c r="K16" s="89"/>
      <c r="L16" s="7"/>
    </row>
    <row r="17" spans="2:12" x14ac:dyDescent="0.3">
      <c r="B17" s="4">
        <v>45735</v>
      </c>
      <c r="C17" s="5">
        <v>1.2800000000000001E-2</v>
      </c>
      <c r="D17" s="5">
        <v>2.4500000000000001E-2</v>
      </c>
      <c r="E17" s="8"/>
      <c r="F17" s="80">
        <f t="shared" si="0"/>
        <v>2.0989999999999998E-2</v>
      </c>
      <c r="G17" s="80"/>
      <c r="H17" s="89">
        <f t="shared" si="1"/>
        <v>1.9820000000000001E-2</v>
      </c>
      <c r="I17" s="89"/>
      <c r="J17" s="89">
        <f t="shared" si="2"/>
        <v>1.865E-2</v>
      </c>
      <c r="K17" s="89"/>
      <c r="L17" s="7"/>
    </row>
    <row r="18" spans="2:12" x14ac:dyDescent="0.3">
      <c r="B18" s="4">
        <v>45736</v>
      </c>
      <c r="C18" s="5">
        <v>-1.7299999999999999E-2</v>
      </c>
      <c r="D18" s="5">
        <v>4.1999999999999997E-3</v>
      </c>
      <c r="E18" s="8"/>
      <c r="F18" s="80">
        <f t="shared" si="0"/>
        <v>-2.2499999999999998E-3</v>
      </c>
      <c r="G18" s="80"/>
      <c r="H18" s="89">
        <f t="shared" si="1"/>
        <v>-4.4000000000000003E-3</v>
      </c>
      <c r="I18" s="89"/>
      <c r="J18" s="89">
        <f t="shared" si="2"/>
        <v>-6.5500000000000003E-3</v>
      </c>
      <c r="K18" s="89"/>
      <c r="L18" s="7"/>
    </row>
    <row r="19" spans="2:12" x14ac:dyDescent="0.3">
      <c r="B19" s="4">
        <v>45737</v>
      </c>
      <c r="C19" s="5">
        <v>-1.04E-2</v>
      </c>
      <c r="D19" s="5">
        <v>1.3599999999999999E-2</v>
      </c>
      <c r="E19" s="8"/>
      <c r="F19" s="80">
        <f t="shared" si="0"/>
        <v>6.3999999999999994E-3</v>
      </c>
      <c r="G19" s="80"/>
      <c r="H19" s="89">
        <f t="shared" si="1"/>
        <v>3.9999999999999992E-3</v>
      </c>
      <c r="I19" s="89"/>
      <c r="J19" s="89">
        <f t="shared" si="2"/>
        <v>1.5999999999999999E-3</v>
      </c>
      <c r="K19" s="89"/>
      <c r="L19" s="7"/>
    </row>
    <row r="20" spans="2:12" x14ac:dyDescent="0.3">
      <c r="B20" s="4">
        <v>45740</v>
      </c>
      <c r="C20" s="5">
        <v>2.3E-3</v>
      </c>
      <c r="D20" s="5">
        <v>-2.07E-2</v>
      </c>
      <c r="E20" s="8"/>
      <c r="F20" s="80">
        <f t="shared" si="0"/>
        <v>-1.38E-2</v>
      </c>
      <c r="G20" s="80"/>
      <c r="H20" s="89">
        <f t="shared" si="1"/>
        <v>-1.1499999999999998E-2</v>
      </c>
      <c r="I20" s="89"/>
      <c r="J20" s="89">
        <f t="shared" si="2"/>
        <v>-9.1999999999999998E-3</v>
      </c>
      <c r="K20" s="89"/>
      <c r="L20" s="7"/>
    </row>
    <row r="21" spans="2:12" x14ac:dyDescent="0.3">
      <c r="B21" s="4">
        <v>45741</v>
      </c>
      <c r="C21" s="5">
        <v>-3.9699999999999999E-2</v>
      </c>
      <c r="D21" s="5">
        <v>-5.8299999999999998E-2</v>
      </c>
      <c r="E21" s="8"/>
      <c r="F21" s="80">
        <f t="shared" si="0"/>
        <v>-5.2719999999999996E-2</v>
      </c>
      <c r="G21" s="80"/>
      <c r="H21" s="89">
        <f t="shared" si="1"/>
        <v>-5.0860000000000002E-2</v>
      </c>
      <c r="I21" s="89"/>
      <c r="J21" s="89">
        <f t="shared" si="2"/>
        <v>-4.9000000000000002E-2</v>
      </c>
      <c r="K21" s="89"/>
      <c r="L21" s="7"/>
    </row>
    <row r="22" spans="2:12" x14ac:dyDescent="0.3">
      <c r="B22" s="4">
        <v>45742</v>
      </c>
      <c r="C22" s="5">
        <v>-4.0399999999999998E-2</v>
      </c>
      <c r="D22" s="5">
        <v>-3.1099999999999999E-2</v>
      </c>
      <c r="E22" s="8"/>
      <c r="F22" s="80">
        <f t="shared" si="0"/>
        <v>-3.3889999999999997E-2</v>
      </c>
      <c r="G22" s="80"/>
      <c r="H22" s="89">
        <f t="shared" si="1"/>
        <v>-3.4820000000000004E-2</v>
      </c>
      <c r="I22" s="89"/>
      <c r="J22" s="89">
        <f t="shared" si="2"/>
        <v>-3.5749999999999997E-2</v>
      </c>
      <c r="K22" s="89"/>
      <c r="L22" s="7"/>
    </row>
    <row r="23" spans="2:12" x14ac:dyDescent="0.3">
      <c r="B23" s="4">
        <v>45743</v>
      </c>
      <c r="C23" s="5">
        <v>3.6700000000000003E-2</v>
      </c>
      <c r="D23" s="5">
        <v>1.47E-2</v>
      </c>
      <c r="E23" s="8"/>
      <c r="F23" s="80">
        <f t="shared" si="0"/>
        <v>2.1299999999999999E-2</v>
      </c>
      <c r="G23" s="80"/>
      <c r="H23" s="89">
        <f t="shared" si="1"/>
        <v>2.35E-2</v>
      </c>
      <c r="I23" s="89"/>
      <c r="J23" s="89">
        <f t="shared" si="2"/>
        <v>2.5700000000000001E-2</v>
      </c>
      <c r="K23" s="89"/>
      <c r="L23" s="7"/>
    </row>
    <row r="24" spans="2:12" x14ac:dyDescent="0.3">
      <c r="B24" s="4">
        <v>45744</v>
      </c>
      <c r="C24" s="5">
        <v>-1.6500000000000001E-2</v>
      </c>
      <c r="D24" s="5">
        <v>-2.2200000000000001E-2</v>
      </c>
      <c r="E24" s="8"/>
      <c r="F24" s="80">
        <f t="shared" si="0"/>
        <v>-2.0490000000000001E-2</v>
      </c>
      <c r="G24" s="80"/>
      <c r="H24" s="89">
        <f t="shared" si="1"/>
        <v>-1.992E-2</v>
      </c>
      <c r="I24" s="89"/>
      <c r="J24" s="89">
        <f t="shared" si="2"/>
        <v>-1.9349999999999999E-2</v>
      </c>
      <c r="K24" s="89"/>
      <c r="L24" s="7"/>
    </row>
    <row r="25" spans="2:12" x14ac:dyDescent="0.3">
      <c r="B25" s="4">
        <v>45748</v>
      </c>
      <c r="C25" s="5">
        <v>5.1000000000000004E-3</v>
      </c>
      <c r="D25" s="5">
        <v>1.5E-3</v>
      </c>
      <c r="E25" s="8"/>
      <c r="F25" s="80">
        <f t="shared" si="0"/>
        <v>2.5799999999999998E-3</v>
      </c>
      <c r="G25" s="80"/>
      <c r="H25" s="89">
        <f t="shared" si="1"/>
        <v>2.9399999999999999E-3</v>
      </c>
      <c r="I25" s="89"/>
      <c r="J25" s="89">
        <f t="shared" si="2"/>
        <v>3.3E-3</v>
      </c>
      <c r="K25" s="89"/>
      <c r="L25" s="7"/>
    </row>
    <row r="26" spans="2:12" x14ac:dyDescent="0.3">
      <c r="B26" s="4">
        <v>45749</v>
      </c>
      <c r="C26" s="5">
        <v>3.8300000000000001E-2</v>
      </c>
      <c r="D26" s="5">
        <v>4.9599999999999998E-2</v>
      </c>
      <c r="E26" s="8"/>
      <c r="F26" s="80">
        <f t="shared" si="0"/>
        <v>4.6209999999999994E-2</v>
      </c>
      <c r="G26" s="80"/>
      <c r="H26" s="89">
        <f t="shared" si="1"/>
        <v>4.5079999999999995E-2</v>
      </c>
      <c r="I26" s="89"/>
      <c r="J26" s="89">
        <f t="shared" si="2"/>
        <v>4.3950000000000003E-2</v>
      </c>
      <c r="K26" s="89"/>
      <c r="L26" s="7"/>
    </row>
    <row r="27" spans="2:12" x14ac:dyDescent="0.3">
      <c r="B27" s="4">
        <v>45750</v>
      </c>
      <c r="C27" s="5">
        <v>1.6000000000000001E-3</v>
      </c>
      <c r="D27" s="5">
        <v>-5.3E-3</v>
      </c>
      <c r="E27" s="8"/>
      <c r="F27" s="80">
        <f t="shared" si="0"/>
        <v>-3.2299999999999998E-3</v>
      </c>
      <c r="G27" s="80"/>
      <c r="H27" s="89">
        <f t="shared" si="1"/>
        <v>-2.5400000000000002E-3</v>
      </c>
      <c r="I27" s="89"/>
      <c r="J27" s="89">
        <f t="shared" si="2"/>
        <v>-1.8500000000000001E-3</v>
      </c>
      <c r="K27" s="89"/>
      <c r="L27" s="7"/>
    </row>
    <row r="28" spans="2:12" x14ac:dyDescent="0.3">
      <c r="B28" s="4">
        <v>45751</v>
      </c>
      <c r="C28" s="5">
        <v>-2.2599999999999999E-2</v>
      </c>
      <c r="D28" s="5">
        <v>-1.8E-3</v>
      </c>
      <c r="E28" s="8"/>
      <c r="F28" s="80">
        <f t="shared" si="0"/>
        <v>-8.0399999999999985E-3</v>
      </c>
      <c r="G28" s="80"/>
      <c r="H28" s="89">
        <f t="shared" si="1"/>
        <v>-1.0119999999999999E-2</v>
      </c>
      <c r="I28" s="89"/>
      <c r="J28" s="89">
        <f t="shared" si="2"/>
        <v>-1.2199999999999999E-2</v>
      </c>
      <c r="K28" s="89"/>
      <c r="L28" s="7"/>
    </row>
    <row r="29" spans="2:12" x14ac:dyDescent="0.3">
      <c r="B29" s="4">
        <v>45754</v>
      </c>
      <c r="C29" s="5">
        <v>-4.6399999999999997E-2</v>
      </c>
      <c r="D29" s="5">
        <v>-4.3E-3</v>
      </c>
      <c r="E29" s="8"/>
      <c r="F29" s="80">
        <f t="shared" si="0"/>
        <v>-1.6929999999999997E-2</v>
      </c>
      <c r="G29" s="80"/>
      <c r="H29" s="89">
        <f t="shared" si="1"/>
        <v>-2.1139999999999999E-2</v>
      </c>
      <c r="I29" s="89"/>
      <c r="J29" s="89">
        <f t="shared" si="2"/>
        <v>-2.5349999999999998E-2</v>
      </c>
      <c r="K29" s="89"/>
      <c r="L29" s="7"/>
    </row>
    <row r="30" spans="2:12" x14ac:dyDescent="0.3">
      <c r="B30" s="4">
        <v>45755</v>
      </c>
      <c r="C30" s="5">
        <v>3.61E-2</v>
      </c>
      <c r="D30" s="5">
        <v>2.6499999999999999E-2</v>
      </c>
      <c r="E30" s="8"/>
      <c r="F30" s="80">
        <f t="shared" si="0"/>
        <v>2.9379999999999996E-2</v>
      </c>
      <c r="G30" s="80"/>
      <c r="H30" s="89">
        <f t="shared" si="1"/>
        <v>3.0339999999999999E-2</v>
      </c>
      <c r="I30" s="89"/>
      <c r="J30" s="89">
        <f t="shared" si="2"/>
        <v>3.1300000000000001E-2</v>
      </c>
      <c r="K30" s="89"/>
      <c r="L30" s="7"/>
    </row>
    <row r="31" spans="2:12" x14ac:dyDescent="0.3">
      <c r="B31" s="4">
        <v>45756</v>
      </c>
      <c r="C31" s="5">
        <v>1.9400000000000001E-2</v>
      </c>
      <c r="D31" s="5">
        <v>-1.77E-2</v>
      </c>
      <c r="E31" s="8"/>
      <c r="F31" s="80">
        <f t="shared" si="0"/>
        <v>-6.5700000000000003E-3</v>
      </c>
      <c r="G31" s="80"/>
      <c r="H31" s="89">
        <f t="shared" si="1"/>
        <v>-2.8599999999999988E-3</v>
      </c>
      <c r="I31" s="89"/>
      <c r="J31" s="89">
        <f t="shared" si="2"/>
        <v>8.5000000000000006E-4</v>
      </c>
      <c r="K31" s="89"/>
      <c r="L31" s="7"/>
    </row>
    <row r="32" spans="2:12" x14ac:dyDescent="0.3">
      <c r="B32" s="4">
        <v>45758</v>
      </c>
      <c r="C32" s="5">
        <v>-1.9900000000000001E-2</v>
      </c>
      <c r="D32" s="5">
        <v>2.75E-2</v>
      </c>
      <c r="E32" s="8"/>
      <c r="F32" s="80">
        <f t="shared" si="0"/>
        <v>1.328E-2</v>
      </c>
      <c r="G32" s="80"/>
      <c r="H32" s="89">
        <f t="shared" si="1"/>
        <v>8.5400000000000007E-3</v>
      </c>
      <c r="I32" s="89"/>
      <c r="J32" s="89">
        <f t="shared" si="2"/>
        <v>3.7999999999999996E-3</v>
      </c>
      <c r="K32" s="89"/>
      <c r="L32" s="7"/>
    </row>
    <row r="33" spans="2:12" x14ac:dyDescent="0.3">
      <c r="B33" s="4">
        <v>45762</v>
      </c>
      <c r="C33" s="5">
        <v>3.0000000000000001E-3</v>
      </c>
      <c r="D33" s="5">
        <v>2.3199999999999998E-2</v>
      </c>
      <c r="E33" s="8"/>
      <c r="F33" s="80">
        <f t="shared" si="0"/>
        <v>1.7139999999999999E-2</v>
      </c>
      <c r="G33" s="80"/>
      <c r="H33" s="89">
        <f t="shared" si="1"/>
        <v>1.5119999999999998E-2</v>
      </c>
      <c r="I33" s="89"/>
      <c r="J33" s="89">
        <f t="shared" si="2"/>
        <v>1.3099999999999999E-2</v>
      </c>
      <c r="K33" s="89"/>
      <c r="L33" s="7"/>
    </row>
    <row r="34" spans="2:12" x14ac:dyDescent="0.3">
      <c r="B34" s="4">
        <v>45763</v>
      </c>
      <c r="C34" s="5">
        <v>6.7000000000000002E-3</v>
      </c>
      <c r="D34" s="5">
        <v>-6.9999999999999999E-4</v>
      </c>
      <c r="E34" s="8"/>
      <c r="F34" s="80">
        <f t="shared" si="0"/>
        <v>1.5200000000000001E-3</v>
      </c>
      <c r="G34" s="80"/>
      <c r="H34" s="89">
        <f t="shared" si="1"/>
        <v>2.2600000000000003E-3</v>
      </c>
      <c r="I34" s="89"/>
      <c r="J34" s="89">
        <f t="shared" si="2"/>
        <v>3.0000000000000001E-3</v>
      </c>
      <c r="K34" s="89"/>
      <c r="L34" s="7"/>
    </row>
    <row r="35" spans="2:12" x14ac:dyDescent="0.3">
      <c r="B35" s="4">
        <v>45764</v>
      </c>
      <c r="C35" s="5">
        <v>1.35E-2</v>
      </c>
      <c r="D35" s="5">
        <v>4.2900000000000001E-2</v>
      </c>
      <c r="E35" s="8"/>
      <c r="F35" s="80">
        <f t="shared" si="0"/>
        <v>3.4079999999999999E-2</v>
      </c>
      <c r="G35" s="80"/>
      <c r="H35" s="89">
        <f t="shared" si="1"/>
        <v>3.1140000000000001E-2</v>
      </c>
      <c r="I35" s="89"/>
      <c r="J35" s="89">
        <f t="shared" si="2"/>
        <v>2.8199999999999999E-2</v>
      </c>
      <c r="K35" s="89"/>
      <c r="L35" s="7"/>
    </row>
    <row r="36" spans="2:12" x14ac:dyDescent="0.3">
      <c r="B36" s="4">
        <v>45768</v>
      </c>
      <c r="C36" s="5">
        <v>8.8999999999999999E-3</v>
      </c>
      <c r="D36" s="5">
        <v>1.14E-2</v>
      </c>
      <c r="E36" s="8"/>
      <c r="F36" s="80">
        <f t="shared" si="0"/>
        <v>1.065E-2</v>
      </c>
      <c r="G36" s="80"/>
      <c r="H36" s="89">
        <f t="shared" si="1"/>
        <v>1.04E-2</v>
      </c>
      <c r="I36" s="89"/>
      <c r="J36" s="89">
        <f t="shared" si="2"/>
        <v>1.0149999999999999E-2</v>
      </c>
      <c r="K36" s="89"/>
      <c r="L36" s="7"/>
    </row>
    <row r="37" spans="2:12" x14ac:dyDescent="0.3">
      <c r="B37" s="4">
        <v>45769</v>
      </c>
      <c r="C37" s="5">
        <v>-1.5E-3</v>
      </c>
      <c r="D37" s="5">
        <v>1.38E-2</v>
      </c>
      <c r="E37" s="8"/>
      <c r="F37" s="80">
        <f t="shared" si="0"/>
        <v>9.2099999999999977E-3</v>
      </c>
      <c r="G37" s="80"/>
      <c r="H37" s="89">
        <f t="shared" si="1"/>
        <v>7.6799999999999993E-3</v>
      </c>
      <c r="I37" s="89"/>
      <c r="J37" s="89">
        <f t="shared" si="2"/>
        <v>6.1500000000000001E-3</v>
      </c>
      <c r="K37" s="89"/>
      <c r="L37" s="7"/>
    </row>
    <row r="38" spans="2:12" x14ac:dyDescent="0.3">
      <c r="B38" s="4">
        <v>45770</v>
      </c>
      <c r="C38" s="5">
        <v>1.37E-2</v>
      </c>
      <c r="D38" s="5">
        <v>7.4999999999999997E-3</v>
      </c>
      <c r="E38" s="8"/>
      <c r="F38" s="80">
        <f t="shared" si="0"/>
        <v>9.3600000000000003E-3</v>
      </c>
      <c r="G38" s="80"/>
      <c r="H38" s="89">
        <f t="shared" si="1"/>
        <v>9.9799999999999993E-3</v>
      </c>
      <c r="I38" s="89"/>
      <c r="J38" s="89">
        <f t="shared" si="2"/>
        <v>1.06E-2</v>
      </c>
      <c r="K38" s="89"/>
      <c r="L38" s="7"/>
    </row>
    <row r="39" spans="2:12" x14ac:dyDescent="0.3">
      <c r="B39" s="4">
        <v>45771</v>
      </c>
      <c r="C39" s="5">
        <v>-2.1399999999999999E-2</v>
      </c>
      <c r="D39" s="5">
        <v>-1.2E-2</v>
      </c>
      <c r="E39" s="8"/>
      <c r="F39" s="80">
        <f t="shared" si="0"/>
        <v>-1.482E-2</v>
      </c>
      <c r="G39" s="80"/>
      <c r="H39" s="89">
        <f t="shared" si="1"/>
        <v>-1.576E-2</v>
      </c>
      <c r="I39" s="89"/>
      <c r="J39" s="89">
        <f t="shared" si="2"/>
        <v>-1.67E-2</v>
      </c>
      <c r="K39" s="89"/>
      <c r="L39" s="7"/>
    </row>
    <row r="40" spans="2:12" x14ac:dyDescent="0.3">
      <c r="B40" s="4">
        <v>45772</v>
      </c>
      <c r="C40" s="5">
        <v>-5.6399999999999999E-2</v>
      </c>
      <c r="D40" s="5">
        <v>-3.2000000000000001E-2</v>
      </c>
      <c r="E40" s="8"/>
      <c r="F40" s="80">
        <f t="shared" si="0"/>
        <v>-3.9319999999999994E-2</v>
      </c>
      <c r="G40" s="80"/>
      <c r="H40" s="89">
        <f t="shared" si="1"/>
        <v>-4.1759999999999999E-2</v>
      </c>
      <c r="I40" s="89"/>
      <c r="J40" s="89">
        <f t="shared" si="2"/>
        <v>-4.4200000000000003E-2</v>
      </c>
      <c r="K40" s="89"/>
      <c r="L40" s="7"/>
    </row>
    <row r="41" spans="2:12" x14ac:dyDescent="0.3">
      <c r="B41" s="4">
        <v>45775</v>
      </c>
      <c r="C41" s="5">
        <v>7.3000000000000001E-3</v>
      </c>
      <c r="D41" s="5">
        <v>-7.0000000000000001E-3</v>
      </c>
      <c r="E41" s="8"/>
      <c r="F41" s="80">
        <f t="shared" si="0"/>
        <v>-2.7099999999999997E-3</v>
      </c>
      <c r="G41" s="80"/>
      <c r="H41" s="89">
        <f t="shared" si="1"/>
        <v>-1.2799999999999995E-3</v>
      </c>
      <c r="I41" s="89"/>
      <c r="J41" s="89">
        <f t="shared" si="2"/>
        <v>1.4999999999999996E-4</v>
      </c>
      <c r="K41" s="89"/>
      <c r="L41" s="7"/>
    </row>
    <row r="42" spans="2:12" x14ac:dyDescent="0.3">
      <c r="B42" s="4">
        <v>45776</v>
      </c>
      <c r="C42" s="5">
        <v>-1.2E-2</v>
      </c>
      <c r="D42" s="5">
        <v>1.72E-2</v>
      </c>
      <c r="E42" s="8"/>
      <c r="F42" s="80">
        <f t="shared" si="0"/>
        <v>8.4399999999999996E-3</v>
      </c>
      <c r="G42" s="80"/>
      <c r="H42" s="89">
        <f t="shared" si="1"/>
        <v>5.5199999999999989E-3</v>
      </c>
      <c r="I42" s="89"/>
      <c r="J42" s="89">
        <f t="shared" si="2"/>
        <v>2.5999999999999999E-3</v>
      </c>
      <c r="K42" s="89"/>
      <c r="L42" s="7"/>
    </row>
    <row r="43" spans="2:12" x14ac:dyDescent="0.3">
      <c r="B43" s="4">
        <v>45777</v>
      </c>
      <c r="C43" s="5">
        <v>-1.0800000000000001E-2</v>
      </c>
      <c r="D43" s="5">
        <v>6.1000000000000004E-3</v>
      </c>
      <c r="E43" s="8"/>
      <c r="F43" s="80">
        <f t="shared" si="0"/>
        <v>1.0300000000000001E-3</v>
      </c>
      <c r="G43" s="80"/>
      <c r="H43" s="89">
        <f t="shared" si="1"/>
        <v>-6.6E-4</v>
      </c>
      <c r="I43" s="89"/>
      <c r="J43" s="89">
        <f t="shared" si="2"/>
        <v>-2.3500000000000001E-3</v>
      </c>
      <c r="K43" s="89"/>
      <c r="L43" s="7"/>
    </row>
    <row r="44" spans="2:12" x14ac:dyDescent="0.3">
      <c r="B44" s="4">
        <v>45779</v>
      </c>
      <c r="C44" s="5">
        <v>-3.5099999999999999E-2</v>
      </c>
      <c r="D44" s="5">
        <v>7.6E-3</v>
      </c>
      <c r="E44" s="8"/>
      <c r="F44" s="80">
        <f t="shared" si="0"/>
        <v>-5.2099999999999994E-3</v>
      </c>
      <c r="G44" s="80"/>
      <c r="H44" s="89">
        <f t="shared" si="1"/>
        <v>-9.4800000000000006E-3</v>
      </c>
      <c r="I44" s="89"/>
      <c r="J44" s="89">
        <f t="shared" si="2"/>
        <v>-1.375E-2</v>
      </c>
      <c r="K44" s="89"/>
      <c r="L44" s="7"/>
    </row>
    <row r="45" spans="2:12" x14ac:dyDescent="0.3">
      <c r="B45" s="4">
        <v>45782</v>
      </c>
      <c r="C45" s="5">
        <v>0.12659999999999999</v>
      </c>
      <c r="D45" s="5">
        <v>2.3900000000000001E-2</v>
      </c>
      <c r="E45" s="8"/>
      <c r="F45" s="80">
        <f t="shared" si="0"/>
        <v>5.4709999999999995E-2</v>
      </c>
      <c r="G45" s="80"/>
      <c r="H45" s="89">
        <f t="shared" si="1"/>
        <v>6.4979999999999996E-2</v>
      </c>
      <c r="I45" s="89"/>
      <c r="J45" s="89">
        <f t="shared" si="2"/>
        <v>7.5249999999999997E-2</v>
      </c>
      <c r="K45" s="89"/>
      <c r="L45" s="7"/>
    </row>
    <row r="46" spans="2:12" x14ac:dyDescent="0.3">
      <c r="B46" s="4">
        <v>45783</v>
      </c>
      <c r="C46" s="5">
        <v>-4.1999999999999997E-3</v>
      </c>
      <c r="D46" s="5">
        <v>-3.0300000000000001E-2</v>
      </c>
      <c r="E46" s="8"/>
      <c r="F46" s="80">
        <f t="shared" si="0"/>
        <v>-2.247E-2</v>
      </c>
      <c r="G46" s="80"/>
      <c r="H46" s="89">
        <f t="shared" si="1"/>
        <v>-1.9859999999999999E-2</v>
      </c>
      <c r="I46" s="89"/>
      <c r="J46" s="89">
        <f t="shared" si="2"/>
        <v>-1.7250000000000001E-2</v>
      </c>
      <c r="K46" s="89"/>
      <c r="L46" s="7"/>
    </row>
    <row r="47" spans="2:12" x14ac:dyDescent="0.3">
      <c r="B47" s="4">
        <v>45784</v>
      </c>
      <c r="C47" s="5">
        <v>-0.04</v>
      </c>
      <c r="D47" s="5">
        <v>1.83E-2</v>
      </c>
      <c r="E47" s="8"/>
      <c r="F47" s="80">
        <f t="shared" si="0"/>
        <v>8.0999999999999996E-4</v>
      </c>
      <c r="G47" s="80"/>
      <c r="H47" s="89">
        <f t="shared" si="1"/>
        <v>-5.0200000000000002E-3</v>
      </c>
      <c r="I47" s="89"/>
      <c r="J47" s="89">
        <f t="shared" si="2"/>
        <v>-1.085E-2</v>
      </c>
      <c r="K47" s="89"/>
      <c r="L47" s="7"/>
    </row>
    <row r="48" spans="2:12" x14ac:dyDescent="0.3">
      <c r="B48" s="4">
        <v>45785</v>
      </c>
      <c r="C48" s="5">
        <v>-4.1399999999999999E-2</v>
      </c>
      <c r="D48" s="5">
        <v>-2.9899999999999999E-2</v>
      </c>
      <c r="E48" s="8"/>
      <c r="F48" s="80">
        <f t="shared" si="0"/>
        <v>-3.3349999999999998E-2</v>
      </c>
      <c r="G48" s="80"/>
      <c r="H48" s="89">
        <f t="shared" si="1"/>
        <v>-3.4500000000000003E-2</v>
      </c>
      <c r="I48" s="89"/>
      <c r="J48" s="89">
        <f t="shared" si="2"/>
        <v>-3.5650000000000001E-2</v>
      </c>
      <c r="K48" s="89"/>
      <c r="L48" s="7"/>
    </row>
    <row r="49" spans="2:12" x14ac:dyDescent="0.3">
      <c r="B49" s="4">
        <v>45786</v>
      </c>
      <c r="C49" s="5">
        <v>-6.7000000000000002E-3</v>
      </c>
      <c r="D49" s="5">
        <v>-1.1599999999999999E-2</v>
      </c>
      <c r="E49" s="8"/>
      <c r="F49" s="80">
        <f t="shared" si="0"/>
        <v>-1.0129999999999998E-2</v>
      </c>
      <c r="G49" s="80"/>
      <c r="H49" s="89">
        <f t="shared" si="1"/>
        <v>-9.6399999999999993E-3</v>
      </c>
      <c r="I49" s="89"/>
      <c r="J49" s="89">
        <f t="shared" si="2"/>
        <v>-9.1500000000000001E-3</v>
      </c>
      <c r="K49" s="89"/>
      <c r="L49" s="7"/>
    </row>
    <row r="50" spans="2:12" x14ac:dyDescent="0.3">
      <c r="B50" s="4">
        <v>45789</v>
      </c>
      <c r="C50" s="5">
        <v>2.3E-2</v>
      </c>
      <c r="D50" s="5">
        <v>5.4399999999999997E-2</v>
      </c>
      <c r="E50" s="8"/>
      <c r="F50" s="80">
        <f t="shared" si="0"/>
        <v>4.4979999999999992E-2</v>
      </c>
      <c r="G50" s="80"/>
      <c r="H50" s="89">
        <f t="shared" si="1"/>
        <v>4.1839999999999995E-2</v>
      </c>
      <c r="I50" s="89"/>
      <c r="J50" s="89">
        <f t="shared" si="2"/>
        <v>3.8699999999999998E-2</v>
      </c>
      <c r="K50" s="89"/>
      <c r="L50" s="7"/>
    </row>
    <row r="51" spans="2:12" x14ac:dyDescent="0.3">
      <c r="B51" s="4">
        <v>45790</v>
      </c>
      <c r="C51" s="5">
        <v>-3.04E-2</v>
      </c>
      <c r="D51" s="5">
        <v>-3.2800000000000003E-2</v>
      </c>
      <c r="E51" s="8"/>
      <c r="F51" s="80">
        <f t="shared" si="0"/>
        <v>-3.2079999999999997E-2</v>
      </c>
      <c r="G51" s="80"/>
      <c r="H51" s="89">
        <f t="shared" si="1"/>
        <v>-3.184E-2</v>
      </c>
      <c r="I51" s="89"/>
      <c r="J51" s="89">
        <f t="shared" si="2"/>
        <v>-3.1600000000000003E-2</v>
      </c>
      <c r="K51" s="89"/>
      <c r="L51" s="7"/>
    </row>
    <row r="52" spans="2:12" x14ac:dyDescent="0.3">
      <c r="B52" s="4">
        <v>45791</v>
      </c>
      <c r="C52" s="5">
        <v>-1.0500000000000001E-2</v>
      </c>
      <c r="D52" s="5">
        <v>2.2499999999999999E-2</v>
      </c>
      <c r="E52" s="8"/>
      <c r="F52" s="80">
        <f t="shared" si="0"/>
        <v>1.26E-2</v>
      </c>
      <c r="G52" s="80"/>
      <c r="H52" s="89">
        <f t="shared" si="1"/>
        <v>9.2999999999999992E-3</v>
      </c>
      <c r="I52" s="89"/>
      <c r="J52" s="89">
        <f t="shared" si="2"/>
        <v>5.9999999999999993E-3</v>
      </c>
      <c r="K52" s="89"/>
      <c r="L52" s="7"/>
    </row>
    <row r="53" spans="2:12" x14ac:dyDescent="0.3">
      <c r="B53" s="4">
        <v>45792</v>
      </c>
      <c r="C53" s="5">
        <v>2.9100000000000001E-2</v>
      </c>
      <c r="D53" s="5">
        <v>2.4199999999999999E-2</v>
      </c>
      <c r="E53" s="8"/>
      <c r="F53" s="80">
        <f t="shared" si="0"/>
        <v>2.5669999999999998E-2</v>
      </c>
      <c r="G53" s="80"/>
      <c r="H53" s="89">
        <f t="shared" si="1"/>
        <v>2.6159999999999999E-2</v>
      </c>
      <c r="I53" s="89"/>
      <c r="J53" s="89">
        <f t="shared" si="2"/>
        <v>2.665E-2</v>
      </c>
      <c r="K53" s="89"/>
      <c r="L53" s="7"/>
    </row>
    <row r="54" spans="2:12" x14ac:dyDescent="0.3">
      <c r="B54" s="4">
        <v>45793</v>
      </c>
      <c r="C54" s="5">
        <v>1.5699999999999999E-2</v>
      </c>
      <c r="D54" s="5">
        <v>1.3100000000000001E-2</v>
      </c>
      <c r="E54" s="8"/>
      <c r="F54" s="80">
        <f t="shared" si="0"/>
        <v>1.388E-2</v>
      </c>
      <c r="G54" s="80"/>
      <c r="H54" s="89">
        <f t="shared" si="1"/>
        <v>1.414E-2</v>
      </c>
      <c r="I54" s="89"/>
      <c r="J54" s="89">
        <f t="shared" si="2"/>
        <v>1.44E-2</v>
      </c>
      <c r="K54" s="89"/>
      <c r="L54" s="7"/>
    </row>
    <row r="55" spans="2:12" x14ac:dyDescent="0.3">
      <c r="B55" s="4">
        <v>45796</v>
      </c>
      <c r="C55" s="5">
        <v>7.1999999999999998E-3</v>
      </c>
      <c r="D55" s="5">
        <v>-3.15E-2</v>
      </c>
      <c r="E55" s="8"/>
      <c r="F55" s="80">
        <f t="shared" si="0"/>
        <v>-1.9890000000000001E-2</v>
      </c>
      <c r="G55" s="80"/>
      <c r="H55" s="89">
        <f t="shared" si="1"/>
        <v>-1.602E-2</v>
      </c>
      <c r="I55" s="89"/>
      <c r="J55" s="89">
        <f t="shared" si="2"/>
        <v>-1.2150000000000001E-2</v>
      </c>
      <c r="K55" s="89"/>
      <c r="L55" s="7"/>
    </row>
    <row r="56" spans="2:12" x14ac:dyDescent="0.3">
      <c r="B56" s="4">
        <v>45797</v>
      </c>
      <c r="C56" s="5">
        <v>-3.7600000000000001E-2</v>
      </c>
      <c r="D56" s="5">
        <v>-4.1000000000000002E-2</v>
      </c>
      <c r="E56" s="8"/>
      <c r="F56" s="80">
        <f t="shared" si="0"/>
        <v>-3.9980000000000002E-2</v>
      </c>
      <c r="G56" s="80"/>
      <c r="H56" s="89">
        <f t="shared" si="1"/>
        <v>-3.9640000000000002E-2</v>
      </c>
      <c r="I56" s="89"/>
      <c r="J56" s="89">
        <f t="shared" si="2"/>
        <v>-3.9300000000000002E-2</v>
      </c>
      <c r="K56" s="89"/>
      <c r="L56" s="7"/>
    </row>
    <row r="57" spans="2:12" x14ac:dyDescent="0.3">
      <c r="B57" s="4">
        <v>45798</v>
      </c>
      <c r="C57" s="5">
        <v>7.9000000000000008E-3</v>
      </c>
      <c r="D57" s="5">
        <v>7.4000000000000003E-3</v>
      </c>
      <c r="E57" s="8"/>
      <c r="F57" s="80">
        <f t="shared" si="0"/>
        <v>7.5499999999999994E-3</v>
      </c>
      <c r="G57" s="80"/>
      <c r="H57" s="89">
        <f t="shared" si="1"/>
        <v>7.6000000000000009E-3</v>
      </c>
      <c r="I57" s="89"/>
      <c r="J57" s="89">
        <f t="shared" si="2"/>
        <v>7.6500000000000005E-3</v>
      </c>
      <c r="K57" s="89"/>
      <c r="L57" s="7"/>
    </row>
    <row r="58" spans="2:12" x14ac:dyDescent="0.3">
      <c r="B58" s="4">
        <v>45799</v>
      </c>
      <c r="C58" s="5">
        <v>4.0000000000000001E-3</v>
      </c>
      <c r="D58" s="5">
        <v>-4.1000000000000003E-3</v>
      </c>
      <c r="E58" s="8"/>
      <c r="F58" s="80">
        <f t="shared" si="0"/>
        <v>-1.6700000000000003E-3</v>
      </c>
      <c r="G58" s="80"/>
      <c r="H58" s="89">
        <f t="shared" si="1"/>
        <v>-8.5999999999999987E-4</v>
      </c>
      <c r="I58" s="89"/>
      <c r="J58" s="89">
        <f t="shared" si="2"/>
        <v>-5.0000000000000131E-5</v>
      </c>
      <c r="K58" s="89"/>
      <c r="L58" s="7"/>
    </row>
    <row r="59" spans="2:12" x14ac:dyDescent="0.3">
      <c r="B59" s="4">
        <v>45800</v>
      </c>
      <c r="C59" s="5">
        <v>2.7300000000000001E-2</v>
      </c>
      <c r="D59" s="5">
        <v>3.7199999999999997E-2</v>
      </c>
      <c r="E59" s="8"/>
      <c r="F59" s="80">
        <f t="shared" si="0"/>
        <v>3.4229999999999997E-2</v>
      </c>
      <c r="G59" s="80"/>
      <c r="H59" s="89">
        <f t="shared" si="1"/>
        <v>3.3239999999999999E-2</v>
      </c>
      <c r="I59" s="89"/>
      <c r="J59" s="89">
        <f t="shared" si="2"/>
        <v>3.2250000000000001E-2</v>
      </c>
      <c r="K59" s="89"/>
      <c r="L59" s="7"/>
    </row>
    <row r="60" spans="2:12" x14ac:dyDescent="0.3">
      <c r="B60" s="4">
        <v>45803</v>
      </c>
      <c r="C60" s="5">
        <v>-8.6999999999999994E-3</v>
      </c>
      <c r="D60" s="5">
        <v>-4.53E-2</v>
      </c>
      <c r="E60" s="8"/>
      <c r="F60" s="80">
        <f t="shared" si="0"/>
        <v>-3.4319999999999996E-2</v>
      </c>
      <c r="G60" s="80"/>
      <c r="H60" s="89">
        <f t="shared" si="1"/>
        <v>-3.066E-2</v>
      </c>
      <c r="I60" s="89"/>
      <c r="J60" s="89">
        <f t="shared" si="2"/>
        <v>-2.7E-2</v>
      </c>
      <c r="K60" s="89"/>
      <c r="L60" s="7"/>
    </row>
    <row r="61" spans="2:12" x14ac:dyDescent="0.3">
      <c r="B61" s="4">
        <v>45804</v>
      </c>
      <c r="C61" s="5">
        <v>-2.2000000000000001E-3</v>
      </c>
      <c r="D61" s="5">
        <v>-8.8999999999999999E-3</v>
      </c>
      <c r="E61" s="8"/>
      <c r="F61" s="80">
        <f t="shared" si="0"/>
        <v>-6.8899999999999994E-3</v>
      </c>
      <c r="G61" s="80"/>
      <c r="H61" s="89">
        <f t="shared" si="1"/>
        <v>-6.2199999999999998E-3</v>
      </c>
      <c r="I61" s="89"/>
      <c r="J61" s="89">
        <f t="shared" si="2"/>
        <v>-5.5500000000000002E-3</v>
      </c>
      <c r="K61" s="89"/>
      <c r="L61" s="7"/>
    </row>
    <row r="62" spans="2:12" x14ac:dyDescent="0.3">
      <c r="B62" s="4">
        <v>45805</v>
      </c>
      <c r="C62" s="5">
        <v>2.0000000000000001E-4</v>
      </c>
      <c r="D62" s="5">
        <v>-2.7000000000000001E-3</v>
      </c>
      <c r="E62" s="8"/>
      <c r="F62" s="80">
        <f t="shared" si="0"/>
        <v>-1.83E-3</v>
      </c>
      <c r="G62" s="80"/>
      <c r="H62" s="89">
        <f t="shared" si="1"/>
        <v>-1.5400000000000001E-3</v>
      </c>
      <c r="I62" s="89"/>
      <c r="J62" s="89">
        <f t="shared" si="2"/>
        <v>-1.25E-3</v>
      </c>
      <c r="K62" s="89"/>
      <c r="L62" s="7"/>
    </row>
    <row r="63" spans="2:12" x14ac:dyDescent="0.3">
      <c r="B63" s="4">
        <v>45806</v>
      </c>
      <c r="C63" s="5">
        <v>2.7E-2</v>
      </c>
      <c r="D63" s="5">
        <v>1.8700000000000001E-2</v>
      </c>
      <c r="E63" s="8"/>
      <c r="F63" s="80">
        <f t="shared" si="0"/>
        <v>2.1190000000000001E-2</v>
      </c>
      <c r="G63" s="80"/>
      <c r="H63" s="89">
        <f t="shared" si="1"/>
        <v>2.2020000000000001E-2</v>
      </c>
      <c r="I63" s="89"/>
      <c r="J63" s="89">
        <f t="shared" si="2"/>
        <v>2.2850000000000002E-2</v>
      </c>
      <c r="K63" s="89"/>
      <c r="L63" s="7"/>
    </row>
    <row r="64" spans="2:12" x14ac:dyDescent="0.3">
      <c r="B64" s="4">
        <v>45807</v>
      </c>
      <c r="C64" s="5">
        <v>1.2800000000000001E-2</v>
      </c>
      <c r="D64" s="5">
        <v>4.3499999999999997E-2</v>
      </c>
      <c r="E64" s="8"/>
      <c r="F64" s="80">
        <f t="shared" si="0"/>
        <v>3.4289999999999994E-2</v>
      </c>
      <c r="G64" s="80"/>
      <c r="H64" s="89">
        <f t="shared" si="1"/>
        <v>3.1219999999999998E-2</v>
      </c>
      <c r="I64" s="89"/>
      <c r="J64" s="89">
        <f t="shared" si="2"/>
        <v>2.8149999999999998E-2</v>
      </c>
      <c r="K64" s="89"/>
      <c r="L64" s="7"/>
    </row>
    <row r="65" spans="2:12" x14ac:dyDescent="0.3">
      <c r="B65" s="4">
        <v>45810</v>
      </c>
      <c r="C65" s="5">
        <v>8.0000000000000004E-4</v>
      </c>
      <c r="D65" s="5">
        <v>1.21E-2</v>
      </c>
      <c r="E65" s="8"/>
      <c r="F65" s="80">
        <f t="shared" si="0"/>
        <v>8.709999999999999E-3</v>
      </c>
      <c r="G65" s="80"/>
      <c r="H65" s="89">
        <f t="shared" si="1"/>
        <v>7.5799999999999991E-3</v>
      </c>
      <c r="I65" s="89"/>
      <c r="J65" s="89">
        <f t="shared" si="2"/>
        <v>6.45E-3</v>
      </c>
      <c r="K65" s="89"/>
      <c r="L65" s="7"/>
    </row>
    <row r="66" spans="2:12" x14ac:dyDescent="0.3">
      <c r="B66" s="4">
        <v>45811</v>
      </c>
      <c r="C66" s="5">
        <v>-2.9999999999999997E-4</v>
      </c>
      <c r="D66" s="5">
        <v>-1.4500000000000001E-2</v>
      </c>
      <c r="E66" s="8"/>
      <c r="F66" s="80">
        <f t="shared" si="0"/>
        <v>-1.0239999999999999E-2</v>
      </c>
      <c r="G66" s="80"/>
      <c r="H66" s="89">
        <f t="shared" si="1"/>
        <v>-8.8199999999999997E-3</v>
      </c>
      <c r="I66" s="89"/>
      <c r="J66" s="89">
        <f t="shared" si="2"/>
        <v>-7.4000000000000003E-3</v>
      </c>
      <c r="K66" s="89"/>
      <c r="L66" s="7"/>
    </row>
    <row r="67" spans="2:12" x14ac:dyDescent="0.3">
      <c r="B67" s="4">
        <v>45812</v>
      </c>
      <c r="C67" s="5">
        <v>8.8700000000000001E-2</v>
      </c>
      <c r="D67" s="5">
        <v>3.3599999999999998E-2</v>
      </c>
      <c r="E67" s="8"/>
      <c r="F67" s="80">
        <f t="shared" si="0"/>
        <v>5.0129999999999994E-2</v>
      </c>
      <c r="G67" s="80"/>
      <c r="H67" s="89">
        <f t="shared" si="1"/>
        <v>5.5640000000000002E-2</v>
      </c>
      <c r="I67" s="89"/>
      <c r="J67" s="89">
        <f t="shared" si="2"/>
        <v>6.1149999999999996E-2</v>
      </c>
      <c r="K67" s="89"/>
      <c r="L67" s="7"/>
    </row>
    <row r="68" spans="2:12" x14ac:dyDescent="0.3">
      <c r="B68" s="4">
        <v>45813</v>
      </c>
      <c r="C68" s="5">
        <v>3.8999999999999998E-3</v>
      </c>
      <c r="D68" s="5">
        <v>4.4299999999999999E-2</v>
      </c>
      <c r="E68" s="8"/>
      <c r="F68" s="80">
        <f t="shared" si="0"/>
        <v>3.2179999999999993E-2</v>
      </c>
      <c r="G68" s="80"/>
      <c r="H68" s="89">
        <f t="shared" si="1"/>
        <v>2.8139999999999998E-2</v>
      </c>
      <c r="I68" s="89"/>
      <c r="J68" s="89">
        <f t="shared" si="2"/>
        <v>2.41E-2</v>
      </c>
      <c r="K68" s="89"/>
      <c r="L68" s="7"/>
    </row>
    <row r="69" spans="2:12" x14ac:dyDescent="0.3">
      <c r="B69" s="4">
        <v>45814</v>
      </c>
      <c r="C69" s="5">
        <v>2.8299999999999999E-2</v>
      </c>
      <c r="D69" s="5">
        <v>2.07E-2</v>
      </c>
      <c r="E69" s="8"/>
      <c r="F69" s="80">
        <f t="shared" ref="F69:F132" si="4">C69*0.3+D69*0.7</f>
        <v>2.298E-2</v>
      </c>
      <c r="G69" s="80"/>
      <c r="H69" s="89">
        <f t="shared" ref="H69:H132" si="5">0.4*C69+D69*0.6</f>
        <v>2.3739999999999997E-2</v>
      </c>
      <c r="I69" s="89"/>
      <c r="J69" s="89">
        <f t="shared" ref="J69:J132" si="6">0.5*C69+0.5*D69</f>
        <v>2.4500000000000001E-2</v>
      </c>
      <c r="K69" s="89"/>
      <c r="L69" s="7"/>
    </row>
    <row r="70" spans="2:12" x14ac:dyDescent="0.3">
      <c r="B70" s="4">
        <v>45817</v>
      </c>
      <c r="C70" s="5">
        <v>-2.63E-2</v>
      </c>
      <c r="D70" s="5">
        <v>-1.9199999999999998E-2</v>
      </c>
      <c r="E70" s="8"/>
      <c r="F70" s="80">
        <f t="shared" si="4"/>
        <v>-2.1329999999999998E-2</v>
      </c>
      <c r="G70" s="80"/>
      <c r="H70" s="89">
        <f t="shared" si="5"/>
        <v>-2.2040000000000001E-2</v>
      </c>
      <c r="I70" s="89"/>
      <c r="J70" s="89">
        <f t="shared" si="6"/>
        <v>-2.2749999999999999E-2</v>
      </c>
      <c r="K70" s="89"/>
      <c r="L70" s="7"/>
    </row>
    <row r="71" spans="2:12" x14ac:dyDescent="0.3">
      <c r="B71" s="4">
        <v>45818</v>
      </c>
      <c r="C71" s="5">
        <v>-8.2000000000000007E-3</v>
      </c>
      <c r="D71" s="5">
        <v>-4.4999999999999997E-3</v>
      </c>
      <c r="E71" s="8"/>
      <c r="F71" s="80">
        <f t="shared" si="4"/>
        <v>-5.6099999999999995E-3</v>
      </c>
      <c r="G71" s="80"/>
      <c r="H71" s="89">
        <f t="shared" si="5"/>
        <v>-5.9800000000000001E-3</v>
      </c>
      <c r="I71" s="89"/>
      <c r="J71" s="89">
        <f t="shared" si="6"/>
        <v>-6.3499999999999997E-3</v>
      </c>
      <c r="K71" s="89"/>
      <c r="L71" s="7"/>
    </row>
    <row r="72" spans="2:12" x14ac:dyDescent="0.3">
      <c r="B72" s="4">
        <v>45819</v>
      </c>
      <c r="C72" s="5">
        <v>-1.5299999999999999E-2</v>
      </c>
      <c r="D72" s="5">
        <v>5.4000000000000003E-3</v>
      </c>
      <c r="E72" s="8"/>
      <c r="F72" s="80">
        <f t="shared" si="4"/>
        <v>-8.0999999999999952E-4</v>
      </c>
      <c r="G72" s="80"/>
      <c r="H72" s="89">
        <f t="shared" si="5"/>
        <v>-2.8800000000000002E-3</v>
      </c>
      <c r="I72" s="89"/>
      <c r="J72" s="89">
        <f t="shared" si="6"/>
        <v>-4.9499999999999995E-3</v>
      </c>
      <c r="K72" s="89"/>
      <c r="L72" s="7"/>
    </row>
    <row r="73" spans="2:12" x14ac:dyDescent="0.3">
      <c r="B73" s="4">
        <v>45820</v>
      </c>
      <c r="C73" s="5">
        <v>1E-4</v>
      </c>
      <c r="D73" s="5">
        <v>-2.1399999999999999E-2</v>
      </c>
      <c r="E73" s="8"/>
      <c r="F73" s="80">
        <f t="shared" si="4"/>
        <v>-1.4949999999999998E-2</v>
      </c>
      <c r="G73" s="80"/>
      <c r="H73" s="89">
        <f t="shared" si="5"/>
        <v>-1.2799999999999999E-2</v>
      </c>
      <c r="I73" s="89"/>
      <c r="J73" s="89">
        <f t="shared" si="6"/>
        <v>-1.065E-2</v>
      </c>
      <c r="K73" s="89"/>
      <c r="L73" s="7"/>
    </row>
    <row r="74" spans="2:12" x14ac:dyDescent="0.3">
      <c r="B74" s="4">
        <v>45821</v>
      </c>
      <c r="C74" s="5">
        <v>-5.3E-3</v>
      </c>
      <c r="D74" s="5">
        <v>-9.9000000000000008E-3</v>
      </c>
      <c r="E74" s="8"/>
      <c r="F74" s="80">
        <f t="shared" si="4"/>
        <v>-8.5199999999999998E-3</v>
      </c>
      <c r="G74" s="80"/>
      <c r="H74" s="89">
        <f t="shared" si="5"/>
        <v>-8.0599999999999995E-3</v>
      </c>
      <c r="I74" s="89"/>
      <c r="J74" s="89">
        <f t="shared" si="6"/>
        <v>-7.6000000000000009E-3</v>
      </c>
      <c r="K74" s="89"/>
      <c r="L74" s="7"/>
    </row>
    <row r="75" spans="2:12" x14ac:dyDescent="0.3">
      <c r="B75" s="4">
        <v>45824</v>
      </c>
      <c r="C75" s="5">
        <v>1.9099999999999999E-2</v>
      </c>
      <c r="D75" s="5">
        <v>1.23E-2</v>
      </c>
      <c r="E75" s="8"/>
      <c r="F75" s="80">
        <f t="shared" si="4"/>
        <v>1.4339999999999999E-2</v>
      </c>
      <c r="G75" s="80"/>
      <c r="H75" s="89">
        <f t="shared" si="5"/>
        <v>1.5019999999999999E-2</v>
      </c>
      <c r="I75" s="89"/>
      <c r="J75" s="89">
        <f t="shared" si="6"/>
        <v>1.5699999999999999E-2</v>
      </c>
      <c r="K75" s="89"/>
      <c r="L75" s="7"/>
    </row>
    <row r="76" spans="2:12" x14ac:dyDescent="0.3">
      <c r="B76" s="4">
        <v>45825</v>
      </c>
      <c r="C76" s="5">
        <v>-1.44E-2</v>
      </c>
      <c r="D76" s="5">
        <v>-1.9400000000000001E-2</v>
      </c>
      <c r="E76" s="8"/>
      <c r="F76" s="80">
        <f t="shared" si="4"/>
        <v>-1.7899999999999999E-2</v>
      </c>
      <c r="G76" s="80"/>
      <c r="H76" s="89">
        <f t="shared" si="5"/>
        <v>-1.7399999999999999E-2</v>
      </c>
      <c r="I76" s="89"/>
      <c r="J76" s="89">
        <f t="shared" si="6"/>
        <v>-1.6899999999999998E-2</v>
      </c>
      <c r="K76" s="89"/>
      <c r="L76" s="7"/>
    </row>
    <row r="77" spans="2:12" x14ac:dyDescent="0.3">
      <c r="B77" s="4">
        <v>45826</v>
      </c>
      <c r="C77" s="5">
        <v>2.7099999999999999E-2</v>
      </c>
      <c r="D77" s="5">
        <v>4.7000000000000002E-3</v>
      </c>
      <c r="E77" s="8"/>
      <c r="F77" s="80">
        <f t="shared" si="4"/>
        <v>1.142E-2</v>
      </c>
      <c r="G77" s="80"/>
      <c r="H77" s="89">
        <f t="shared" si="5"/>
        <v>1.366E-2</v>
      </c>
      <c r="I77" s="89"/>
      <c r="J77" s="89">
        <f t="shared" si="6"/>
        <v>1.5900000000000001E-2</v>
      </c>
      <c r="K77" s="89"/>
      <c r="L77" s="7"/>
    </row>
    <row r="78" spans="2:12" x14ac:dyDescent="0.3">
      <c r="B78" s="4">
        <v>45827</v>
      </c>
      <c r="C78" s="5">
        <v>2.3900000000000001E-2</v>
      </c>
      <c r="D78" s="5">
        <v>4.1000000000000003E-3</v>
      </c>
      <c r="E78" s="8"/>
      <c r="F78" s="80">
        <f t="shared" si="4"/>
        <v>1.004E-2</v>
      </c>
      <c r="G78" s="80"/>
      <c r="H78" s="89">
        <f t="shared" si="5"/>
        <v>1.2020000000000001E-2</v>
      </c>
      <c r="I78" s="89"/>
      <c r="J78" s="89">
        <f t="shared" si="6"/>
        <v>1.4E-2</v>
      </c>
      <c r="K78" s="89"/>
      <c r="L78" s="7"/>
    </row>
    <row r="79" spans="2:12" x14ac:dyDescent="0.3">
      <c r="B79" s="4">
        <v>45828</v>
      </c>
      <c r="C79" s="5">
        <v>4.1000000000000002E-2</v>
      </c>
      <c r="D79" s="5">
        <v>1.5699999999999999E-2</v>
      </c>
      <c r="E79" s="8"/>
      <c r="F79" s="80">
        <f t="shared" si="4"/>
        <v>2.3289999999999998E-2</v>
      </c>
      <c r="G79" s="80"/>
      <c r="H79" s="89">
        <f t="shared" si="5"/>
        <v>2.5820000000000003E-2</v>
      </c>
      <c r="I79" s="89"/>
      <c r="J79" s="89">
        <f t="shared" si="6"/>
        <v>2.835E-2</v>
      </c>
      <c r="K79" s="89"/>
      <c r="L79" s="7"/>
    </row>
    <row r="80" spans="2:12" x14ac:dyDescent="0.3">
      <c r="B80" s="4">
        <v>45831</v>
      </c>
      <c r="C80" s="5">
        <v>-1.2999999999999999E-3</v>
      </c>
      <c r="D80" s="5">
        <v>5.1999999999999998E-3</v>
      </c>
      <c r="E80" s="8"/>
      <c r="F80" s="80">
        <f t="shared" si="4"/>
        <v>3.2499999999999994E-3</v>
      </c>
      <c r="G80" s="80"/>
      <c r="H80" s="89">
        <f t="shared" si="5"/>
        <v>2.5999999999999999E-3</v>
      </c>
      <c r="I80" s="89"/>
      <c r="J80" s="89">
        <f t="shared" si="6"/>
        <v>1.9499999999999999E-3</v>
      </c>
      <c r="K80" s="89"/>
      <c r="L80" s="7"/>
    </row>
    <row r="81" spans="2:12" x14ac:dyDescent="0.3">
      <c r="B81" s="4">
        <v>45832</v>
      </c>
      <c r="C81" s="5">
        <v>5.4999999999999997E-3</v>
      </c>
      <c r="D81" s="5">
        <v>1.6999999999999999E-3</v>
      </c>
      <c r="E81" s="8"/>
      <c r="F81" s="80">
        <f t="shared" si="4"/>
        <v>2.8399999999999996E-3</v>
      </c>
      <c r="G81" s="80"/>
      <c r="H81" s="89">
        <f t="shared" si="5"/>
        <v>3.2199999999999998E-3</v>
      </c>
      <c r="I81" s="89"/>
      <c r="J81" s="89">
        <f t="shared" si="6"/>
        <v>3.5999999999999999E-3</v>
      </c>
      <c r="K81" s="89"/>
      <c r="L81" s="7"/>
    </row>
    <row r="82" spans="2:12" x14ac:dyDescent="0.3">
      <c r="B82" s="4">
        <v>45833</v>
      </c>
      <c r="C82" s="5">
        <v>2.2499999999999999E-2</v>
      </c>
      <c r="D82" s="5">
        <v>1.49E-2</v>
      </c>
      <c r="E82" s="8"/>
      <c r="F82" s="80">
        <f t="shared" si="4"/>
        <v>1.7180000000000001E-2</v>
      </c>
      <c r="G82" s="80"/>
      <c r="H82" s="89">
        <f t="shared" si="5"/>
        <v>1.7939999999999998E-2</v>
      </c>
      <c r="I82" s="89"/>
      <c r="J82" s="89">
        <f t="shared" si="6"/>
        <v>1.8700000000000001E-2</v>
      </c>
      <c r="K82" s="89"/>
      <c r="L82" s="7"/>
    </row>
    <row r="83" spans="2:12" x14ac:dyDescent="0.3">
      <c r="B83" s="4">
        <v>45834</v>
      </c>
      <c r="C83" s="5">
        <v>1.3299999999999999E-2</v>
      </c>
      <c r="D83" s="5">
        <v>2.4400000000000002E-2</v>
      </c>
      <c r="E83" s="8"/>
      <c r="F83" s="80">
        <f t="shared" si="4"/>
        <v>2.1070000000000002E-2</v>
      </c>
      <c r="G83" s="80"/>
      <c r="H83" s="89">
        <f t="shared" si="5"/>
        <v>1.9959999999999999E-2</v>
      </c>
      <c r="I83" s="89"/>
      <c r="J83" s="89">
        <f t="shared" si="6"/>
        <v>1.8849999999999999E-2</v>
      </c>
      <c r="K83" s="89"/>
      <c r="L83" s="7"/>
    </row>
    <row r="84" spans="2:12" x14ac:dyDescent="0.3">
      <c r="B84" s="4">
        <v>45835</v>
      </c>
      <c r="C84" s="5">
        <v>4.1999999999999997E-3</v>
      </c>
      <c r="D84" s="5">
        <v>-1.2500000000000001E-2</v>
      </c>
      <c r="E84" s="8"/>
      <c r="F84" s="80">
        <f t="shared" si="4"/>
        <v>-7.4899999999999993E-3</v>
      </c>
      <c r="G84" s="80"/>
      <c r="H84" s="89">
        <f t="shared" si="5"/>
        <v>-5.8199999999999997E-3</v>
      </c>
      <c r="I84" s="89"/>
      <c r="J84" s="89">
        <f t="shared" si="6"/>
        <v>-4.1500000000000009E-3</v>
      </c>
      <c r="K84" s="89"/>
      <c r="L84" s="7"/>
    </row>
    <row r="85" spans="2:12" x14ac:dyDescent="0.3">
      <c r="B85" s="4">
        <v>45838</v>
      </c>
      <c r="C85" s="5">
        <v>-1.61E-2</v>
      </c>
      <c r="D85" s="5">
        <v>8.6999999999999994E-3</v>
      </c>
      <c r="E85" s="8"/>
      <c r="F85" s="80">
        <f t="shared" si="4"/>
        <v>1.259999999999999E-3</v>
      </c>
      <c r="G85" s="80"/>
      <c r="H85" s="89">
        <f t="shared" si="5"/>
        <v>-1.2200000000000006E-3</v>
      </c>
      <c r="I85" s="89"/>
      <c r="J85" s="89">
        <f t="shared" si="6"/>
        <v>-3.7000000000000002E-3</v>
      </c>
      <c r="K85" s="89"/>
      <c r="L85" s="7"/>
    </row>
    <row r="86" spans="2:12" x14ac:dyDescent="0.3">
      <c r="B86" s="4">
        <v>45839</v>
      </c>
      <c r="C86" s="5">
        <v>-1.7399999999999999E-2</v>
      </c>
      <c r="D86" s="5">
        <v>-1.1900000000000001E-2</v>
      </c>
      <c r="E86" s="8"/>
      <c r="F86" s="80">
        <f t="shared" si="4"/>
        <v>-1.355E-2</v>
      </c>
      <c r="G86" s="80"/>
      <c r="H86" s="89">
        <f t="shared" si="5"/>
        <v>-1.4100000000000001E-2</v>
      </c>
      <c r="I86" s="89"/>
      <c r="J86" s="89">
        <f t="shared" si="6"/>
        <v>-1.465E-2</v>
      </c>
      <c r="K86" s="89"/>
      <c r="L86" s="7"/>
    </row>
    <row r="87" spans="2:12" x14ac:dyDescent="0.3">
      <c r="B87" s="4">
        <v>45840</v>
      </c>
      <c r="C87" s="5">
        <v>-3.0200000000000001E-2</v>
      </c>
      <c r="D87" s="5">
        <v>-4.7999999999999996E-3</v>
      </c>
      <c r="E87" s="8"/>
      <c r="F87" s="80">
        <f t="shared" si="4"/>
        <v>-1.242E-2</v>
      </c>
      <c r="G87" s="80"/>
      <c r="H87" s="89">
        <f t="shared" si="5"/>
        <v>-1.4960000000000001E-2</v>
      </c>
      <c r="I87" s="89"/>
      <c r="J87" s="89">
        <f t="shared" si="6"/>
        <v>-1.7500000000000002E-2</v>
      </c>
      <c r="K87" s="89"/>
      <c r="L87" s="7"/>
    </row>
    <row r="88" spans="2:12" x14ac:dyDescent="0.3">
      <c r="B88" s="4">
        <v>45841</v>
      </c>
      <c r="C88" s="5">
        <v>1.17E-2</v>
      </c>
      <c r="D88" s="5">
        <v>4.1999999999999997E-3</v>
      </c>
      <c r="E88" s="8"/>
      <c r="F88" s="80">
        <f t="shared" si="4"/>
        <v>6.4499999999999991E-3</v>
      </c>
      <c r="G88" s="80"/>
      <c r="H88" s="89">
        <f t="shared" si="5"/>
        <v>7.1999999999999998E-3</v>
      </c>
      <c r="I88" s="89"/>
      <c r="J88" s="89">
        <f t="shared" si="6"/>
        <v>7.9500000000000005E-3</v>
      </c>
      <c r="K88" s="89"/>
      <c r="L88" s="7"/>
    </row>
    <row r="89" spans="2:12" x14ac:dyDescent="0.3">
      <c r="B89" s="4">
        <v>45842</v>
      </c>
      <c r="C89" s="5">
        <v>-6.4999999999999997E-3</v>
      </c>
      <c r="D89" s="5">
        <v>2.0999999999999999E-3</v>
      </c>
      <c r="E89" s="8"/>
      <c r="F89" s="80">
        <f t="shared" si="4"/>
        <v>-4.8000000000000017E-4</v>
      </c>
      <c r="G89" s="80"/>
      <c r="H89" s="89">
        <f t="shared" si="5"/>
        <v>-1.34E-3</v>
      </c>
      <c r="I89" s="89"/>
      <c r="J89" s="89">
        <f t="shared" si="6"/>
        <v>-2.1999999999999997E-3</v>
      </c>
      <c r="K89" s="89"/>
      <c r="L89" s="7"/>
    </row>
    <row r="90" spans="2:12" x14ac:dyDescent="0.3">
      <c r="B90" s="4">
        <v>45845</v>
      </c>
      <c r="C90" s="5">
        <v>-1.7899999999999999E-2</v>
      </c>
      <c r="D90" s="5">
        <v>-1.09E-2</v>
      </c>
      <c r="E90" s="8"/>
      <c r="F90" s="80">
        <f t="shared" si="4"/>
        <v>-1.2999999999999999E-2</v>
      </c>
      <c r="G90" s="80"/>
      <c r="H90" s="89">
        <f t="shared" si="5"/>
        <v>-1.37E-2</v>
      </c>
      <c r="I90" s="89"/>
      <c r="J90" s="89">
        <f t="shared" si="6"/>
        <v>-1.44E-2</v>
      </c>
      <c r="K90" s="89"/>
      <c r="L90" s="7"/>
    </row>
    <row r="91" spans="2:12" x14ac:dyDescent="0.3">
      <c r="B91" s="4">
        <v>45846</v>
      </c>
      <c r="C91" s="5">
        <v>1.2699999999999999E-2</v>
      </c>
      <c r="D91" s="5">
        <v>1.9099999999999999E-2</v>
      </c>
      <c r="E91" s="8"/>
      <c r="F91" s="80">
        <f t="shared" si="4"/>
        <v>1.7179999999999997E-2</v>
      </c>
      <c r="G91" s="80"/>
      <c r="H91" s="89">
        <f t="shared" si="5"/>
        <v>1.6539999999999999E-2</v>
      </c>
      <c r="I91" s="89"/>
      <c r="J91" s="89">
        <f t="shared" si="6"/>
        <v>1.5899999999999997E-2</v>
      </c>
      <c r="K91" s="89"/>
      <c r="L91" s="7"/>
    </row>
    <row r="92" spans="2:12" x14ac:dyDescent="0.3">
      <c r="B92" s="4">
        <v>45847</v>
      </c>
      <c r="C92" s="5">
        <v>-3.3999999999999998E-3</v>
      </c>
      <c r="D92" s="5">
        <v>4.0000000000000001E-3</v>
      </c>
      <c r="E92" s="8"/>
      <c r="F92" s="80">
        <f t="shared" si="4"/>
        <v>1.7800000000000001E-3</v>
      </c>
      <c r="G92" s="80"/>
      <c r="H92" s="89">
        <f t="shared" si="5"/>
        <v>1.0399999999999997E-3</v>
      </c>
      <c r="I92" s="89"/>
      <c r="J92" s="89">
        <f t="shared" si="6"/>
        <v>3.0000000000000014E-4</v>
      </c>
      <c r="K92" s="89"/>
      <c r="L92" s="7"/>
    </row>
    <row r="93" spans="2:12" x14ac:dyDescent="0.3">
      <c r="B93" s="4">
        <v>45848</v>
      </c>
      <c r="C93" s="5">
        <v>1.0999999999999999E-2</v>
      </c>
      <c r="D93" s="5">
        <v>-6.4000000000000003E-3</v>
      </c>
      <c r="E93" s="8"/>
      <c r="F93" s="80">
        <f t="shared" si="4"/>
        <v>-1.1800000000000001E-3</v>
      </c>
      <c r="G93" s="80"/>
      <c r="H93" s="89">
        <f t="shared" si="5"/>
        <v>5.6000000000000017E-4</v>
      </c>
      <c r="I93" s="89"/>
      <c r="J93" s="89">
        <f t="shared" si="6"/>
        <v>2.2999999999999995E-3</v>
      </c>
      <c r="K93" s="89"/>
      <c r="L93" s="7"/>
    </row>
    <row r="94" spans="2:12" x14ac:dyDescent="0.3">
      <c r="B94" s="4">
        <v>45849</v>
      </c>
      <c r="C94" s="5">
        <v>2E-3</v>
      </c>
      <c r="D94" s="5">
        <v>1.9E-3</v>
      </c>
      <c r="E94" s="8"/>
      <c r="F94" s="80">
        <f t="shared" si="4"/>
        <v>1.9299999999999999E-3</v>
      </c>
      <c r="G94" s="80"/>
      <c r="H94" s="89">
        <f t="shared" si="5"/>
        <v>1.9399999999999999E-3</v>
      </c>
      <c r="I94" s="89"/>
      <c r="J94" s="89">
        <f t="shared" si="6"/>
        <v>1.9499999999999999E-3</v>
      </c>
      <c r="K94" s="89"/>
      <c r="L94" s="7"/>
    </row>
    <row r="95" spans="2:12" x14ac:dyDescent="0.3">
      <c r="B95" s="4">
        <v>45852</v>
      </c>
      <c r="C95" s="5">
        <v>2.06E-2</v>
      </c>
      <c r="D95" s="5">
        <v>2.75E-2</v>
      </c>
      <c r="E95" s="8"/>
      <c r="F95" s="80">
        <f t="shared" si="4"/>
        <v>2.5430000000000001E-2</v>
      </c>
      <c r="G95" s="80"/>
      <c r="H95" s="89">
        <f t="shared" si="5"/>
        <v>2.4740000000000002E-2</v>
      </c>
      <c r="I95" s="89"/>
      <c r="J95" s="89">
        <f t="shared" si="6"/>
        <v>2.4050000000000002E-2</v>
      </c>
      <c r="K95" s="89"/>
      <c r="L95" s="7"/>
    </row>
    <row r="96" spans="2:12" x14ac:dyDescent="0.3">
      <c r="B96" s="4">
        <v>45853</v>
      </c>
      <c r="C96" s="5">
        <v>-1.17E-2</v>
      </c>
      <c r="D96" s="5">
        <v>-1.5299999999999999E-2</v>
      </c>
      <c r="E96" s="8"/>
      <c r="F96" s="80">
        <f t="shared" si="4"/>
        <v>-1.422E-2</v>
      </c>
      <c r="G96" s="80"/>
      <c r="H96" s="89">
        <f t="shared" si="5"/>
        <v>-1.3859999999999999E-2</v>
      </c>
      <c r="I96" s="89"/>
      <c r="J96" s="89">
        <f t="shared" si="6"/>
        <v>-1.35E-2</v>
      </c>
      <c r="K96" s="89"/>
      <c r="L96" s="7"/>
    </row>
    <row r="97" spans="2:12" x14ac:dyDescent="0.3">
      <c r="B97" s="4">
        <v>45854</v>
      </c>
      <c r="C97" s="5">
        <v>3.5999999999999999E-3</v>
      </c>
      <c r="D97" s="5">
        <v>-1.54E-2</v>
      </c>
      <c r="E97" s="8"/>
      <c r="F97" s="80">
        <f t="shared" si="4"/>
        <v>-9.7000000000000003E-3</v>
      </c>
      <c r="G97" s="80"/>
      <c r="H97" s="89">
        <f t="shared" si="5"/>
        <v>-7.7999999999999996E-3</v>
      </c>
      <c r="I97" s="89"/>
      <c r="J97" s="89">
        <f t="shared" si="6"/>
        <v>-5.9000000000000007E-3</v>
      </c>
      <c r="K97" s="89"/>
      <c r="L97" s="7"/>
    </row>
    <row r="98" spans="2:12" x14ac:dyDescent="0.3">
      <c r="B98" s="4">
        <v>45855</v>
      </c>
      <c r="C98" s="5">
        <v>-1.0800000000000001E-2</v>
      </c>
      <c r="D98" s="5">
        <v>-1.03E-2</v>
      </c>
      <c r="E98" s="8"/>
      <c r="F98" s="80">
        <f t="shared" si="4"/>
        <v>-1.0449999999999999E-2</v>
      </c>
      <c r="G98" s="80"/>
      <c r="H98" s="89">
        <f t="shared" si="5"/>
        <v>-1.0499999999999999E-2</v>
      </c>
      <c r="I98" s="89"/>
      <c r="J98" s="89">
        <f t="shared" si="6"/>
        <v>-1.055E-2</v>
      </c>
      <c r="K98" s="89"/>
      <c r="L98" s="7"/>
    </row>
    <row r="99" spans="2:12" x14ac:dyDescent="0.3">
      <c r="B99" s="4">
        <v>45856</v>
      </c>
      <c r="C99" s="5">
        <v>8.2000000000000007E-3</v>
      </c>
      <c r="D99" s="5">
        <v>-9.4000000000000004E-3</v>
      </c>
      <c r="E99" s="8"/>
      <c r="F99" s="80">
        <f t="shared" si="4"/>
        <v>-4.1200000000000004E-3</v>
      </c>
      <c r="G99" s="80"/>
      <c r="H99" s="89">
        <f t="shared" si="5"/>
        <v>-2.3599999999999997E-3</v>
      </c>
      <c r="I99" s="89"/>
      <c r="J99" s="89">
        <f t="shared" si="6"/>
        <v>-5.9999999999999984E-4</v>
      </c>
      <c r="K99" s="89"/>
      <c r="L99" s="7"/>
    </row>
    <row r="100" spans="2:12" x14ac:dyDescent="0.3">
      <c r="B100" s="4">
        <v>45859</v>
      </c>
      <c r="C100" s="5">
        <v>1.5299999999999999E-2</v>
      </c>
      <c r="D100" s="5">
        <v>5.6399999999999999E-2</v>
      </c>
      <c r="E100" s="8"/>
      <c r="F100" s="80">
        <f t="shared" si="4"/>
        <v>4.4069999999999991E-2</v>
      </c>
      <c r="G100" s="80"/>
      <c r="H100" s="89">
        <f t="shared" si="5"/>
        <v>3.9959999999999996E-2</v>
      </c>
      <c r="I100" s="89"/>
      <c r="J100" s="89">
        <f t="shared" si="6"/>
        <v>3.585E-2</v>
      </c>
      <c r="K100" s="89"/>
      <c r="L100" s="7"/>
    </row>
    <row r="101" spans="2:12" x14ac:dyDescent="0.3">
      <c r="B101" s="4">
        <v>45860</v>
      </c>
      <c r="C101" s="5">
        <v>5.67E-2</v>
      </c>
      <c r="D101" s="5">
        <v>0.10340000000000001</v>
      </c>
      <c r="E101" s="8"/>
      <c r="F101" s="80">
        <f t="shared" si="4"/>
        <v>8.9389999999999997E-2</v>
      </c>
      <c r="G101" s="80"/>
      <c r="H101" s="89">
        <f t="shared" si="5"/>
        <v>8.4720000000000004E-2</v>
      </c>
      <c r="I101" s="89"/>
      <c r="J101" s="89">
        <f t="shared" si="6"/>
        <v>8.005000000000001E-2</v>
      </c>
      <c r="K101" s="89"/>
      <c r="L101" s="7"/>
    </row>
    <row r="102" spans="2:12" x14ac:dyDescent="0.3">
      <c r="B102" s="4">
        <v>45861</v>
      </c>
      <c r="C102" s="5">
        <v>3.7000000000000002E-3</v>
      </c>
      <c r="D102" s="5">
        <v>7.4999999999999997E-3</v>
      </c>
      <c r="E102" s="8"/>
      <c r="F102" s="80">
        <f t="shared" si="4"/>
        <v>6.3599999999999993E-3</v>
      </c>
      <c r="G102" s="80"/>
      <c r="H102" s="89">
        <f t="shared" si="5"/>
        <v>5.9800000000000001E-3</v>
      </c>
      <c r="I102" s="89"/>
      <c r="J102" s="89">
        <f t="shared" si="6"/>
        <v>5.5999999999999999E-3</v>
      </c>
      <c r="K102" s="89"/>
      <c r="L102" s="7"/>
    </row>
    <row r="103" spans="2:12" x14ac:dyDescent="0.3">
      <c r="B103" s="4">
        <v>45862</v>
      </c>
      <c r="C103" s="5">
        <v>1.2999999999999999E-3</v>
      </c>
      <c r="D103" s="5">
        <v>3.6700000000000003E-2</v>
      </c>
      <c r="E103" s="8"/>
      <c r="F103" s="80">
        <f t="shared" si="4"/>
        <v>2.6080000000000002E-2</v>
      </c>
      <c r="G103" s="80"/>
      <c r="H103" s="89">
        <f t="shared" si="5"/>
        <v>2.2540000000000001E-2</v>
      </c>
      <c r="I103" s="89"/>
      <c r="J103" s="89">
        <f t="shared" si="6"/>
        <v>1.9000000000000003E-2</v>
      </c>
      <c r="K103" s="89"/>
      <c r="L103" s="7"/>
    </row>
    <row r="104" spans="2:12" x14ac:dyDescent="0.3">
      <c r="B104" s="4">
        <v>45863</v>
      </c>
      <c r="C104" s="5">
        <v>-2.7E-2</v>
      </c>
      <c r="D104" s="5">
        <v>-8.3000000000000001E-3</v>
      </c>
      <c r="E104" s="8"/>
      <c r="F104" s="80">
        <f t="shared" si="4"/>
        <v>-1.3909999999999999E-2</v>
      </c>
      <c r="G104" s="80"/>
      <c r="H104" s="89">
        <f t="shared" si="5"/>
        <v>-1.5780000000000002E-2</v>
      </c>
      <c r="I104" s="89"/>
      <c r="J104" s="89">
        <f t="shared" si="6"/>
        <v>-1.7649999999999999E-2</v>
      </c>
      <c r="K104" s="89"/>
      <c r="L104" s="7"/>
    </row>
    <row r="105" spans="2:12" x14ac:dyDescent="0.3">
      <c r="B105" s="4">
        <v>45866</v>
      </c>
      <c r="C105" s="5">
        <v>-2.0999999999999999E-3</v>
      </c>
      <c r="D105" s="5">
        <v>-1.0500000000000001E-2</v>
      </c>
      <c r="E105" s="8"/>
      <c r="F105" s="80">
        <f t="shared" si="4"/>
        <v>-7.9799999999999992E-3</v>
      </c>
      <c r="G105" s="80"/>
      <c r="H105" s="89">
        <f t="shared" si="5"/>
        <v>-7.1400000000000005E-3</v>
      </c>
      <c r="I105" s="89"/>
      <c r="J105" s="89">
        <f t="shared" si="6"/>
        <v>-6.3E-3</v>
      </c>
      <c r="K105" s="89"/>
      <c r="L105" s="7"/>
    </row>
    <row r="106" spans="2:12" x14ac:dyDescent="0.3">
      <c r="B106" s="4">
        <v>45867</v>
      </c>
      <c r="C106" s="5">
        <v>1.6500000000000001E-2</v>
      </c>
      <c r="D106" s="5">
        <v>-2.3999999999999998E-3</v>
      </c>
      <c r="E106" s="8"/>
      <c r="F106" s="80">
        <f t="shared" si="4"/>
        <v>3.2700000000000003E-3</v>
      </c>
      <c r="G106" s="80"/>
      <c r="H106" s="89">
        <f t="shared" si="5"/>
        <v>5.1600000000000014E-3</v>
      </c>
      <c r="I106" s="89"/>
      <c r="J106" s="89">
        <f t="shared" si="6"/>
        <v>7.0500000000000007E-3</v>
      </c>
      <c r="K106" s="89"/>
      <c r="L106" s="7"/>
    </row>
    <row r="107" spans="2:12" x14ac:dyDescent="0.3">
      <c r="B107" s="4">
        <v>45868</v>
      </c>
      <c r="C107" s="5">
        <v>-3.0700000000000002E-2</v>
      </c>
      <c r="D107" s="5">
        <v>-1.01E-2</v>
      </c>
      <c r="E107" s="8"/>
      <c r="F107" s="80">
        <f t="shared" si="4"/>
        <v>-1.6279999999999999E-2</v>
      </c>
      <c r="G107" s="80"/>
      <c r="H107" s="89">
        <f t="shared" si="5"/>
        <v>-1.8340000000000002E-2</v>
      </c>
      <c r="I107" s="89"/>
      <c r="J107" s="89">
        <f t="shared" si="6"/>
        <v>-2.0400000000000001E-2</v>
      </c>
      <c r="K107" s="89"/>
      <c r="L107" s="7"/>
    </row>
    <row r="108" spans="2:12" x14ac:dyDescent="0.3">
      <c r="B108" s="4">
        <v>45869</v>
      </c>
      <c r="C108" s="5">
        <v>6.6E-3</v>
      </c>
      <c r="D108" s="5">
        <v>1.43E-2</v>
      </c>
      <c r="E108" s="8"/>
      <c r="F108" s="80">
        <f t="shared" si="4"/>
        <v>1.1990000000000001E-2</v>
      </c>
      <c r="G108" s="80"/>
      <c r="H108" s="89">
        <f t="shared" si="5"/>
        <v>1.1219999999999999E-2</v>
      </c>
      <c r="I108" s="89"/>
      <c r="J108" s="89">
        <f t="shared" si="6"/>
        <v>1.0450000000000001E-2</v>
      </c>
      <c r="K108" s="89"/>
      <c r="L108" s="7"/>
    </row>
    <row r="109" spans="2:12" x14ac:dyDescent="0.3">
      <c r="B109" s="4">
        <v>45870</v>
      </c>
      <c r="C109" s="5">
        <v>-2.8199999999999999E-2</v>
      </c>
      <c r="D109" s="5">
        <v>-9.9000000000000008E-3</v>
      </c>
      <c r="E109" s="8"/>
      <c r="F109" s="80">
        <f t="shared" si="4"/>
        <v>-1.5389999999999999E-2</v>
      </c>
      <c r="G109" s="80"/>
      <c r="H109" s="89">
        <f t="shared" si="5"/>
        <v>-1.7219999999999999E-2</v>
      </c>
      <c r="I109" s="89"/>
      <c r="J109" s="89">
        <f t="shared" si="6"/>
        <v>-1.9050000000000001E-2</v>
      </c>
      <c r="K109" s="89"/>
      <c r="L109" s="7"/>
    </row>
    <row r="110" spans="2:12" x14ac:dyDescent="0.3">
      <c r="B110" s="4">
        <v>45873</v>
      </c>
      <c r="C110" s="5">
        <v>1.7500000000000002E-2</v>
      </c>
      <c r="D110" s="5">
        <v>1.6000000000000001E-3</v>
      </c>
      <c r="E110" s="8"/>
      <c r="F110" s="80">
        <f t="shared" si="4"/>
        <v>6.3700000000000007E-3</v>
      </c>
      <c r="G110" s="80"/>
      <c r="H110" s="89">
        <f t="shared" si="5"/>
        <v>7.9600000000000018E-3</v>
      </c>
      <c r="I110" s="89"/>
      <c r="J110" s="89">
        <f t="shared" si="6"/>
        <v>9.5500000000000012E-3</v>
      </c>
      <c r="K110" s="89"/>
      <c r="L110" s="7"/>
    </row>
    <row r="111" spans="2:12" x14ac:dyDescent="0.3">
      <c r="B111" s="4">
        <v>45874</v>
      </c>
      <c r="C111" s="5">
        <v>-3.4200000000000001E-2</v>
      </c>
      <c r="D111" s="5">
        <v>-1.0200000000000001E-2</v>
      </c>
      <c r="E111" s="8"/>
      <c r="F111" s="80">
        <f t="shared" si="4"/>
        <v>-1.7399999999999999E-2</v>
      </c>
      <c r="G111" s="80"/>
      <c r="H111" s="89">
        <f t="shared" si="5"/>
        <v>-1.9800000000000002E-2</v>
      </c>
      <c r="I111" s="89"/>
      <c r="J111" s="89">
        <f t="shared" si="6"/>
        <v>-2.2200000000000001E-2</v>
      </c>
      <c r="K111" s="89"/>
      <c r="L111" s="7"/>
    </row>
    <row r="112" spans="2:12" x14ac:dyDescent="0.3">
      <c r="B112" s="4">
        <v>45875</v>
      </c>
      <c r="C112" s="5">
        <v>2.18E-2</v>
      </c>
      <c r="D112" s="5">
        <v>-1.09E-2</v>
      </c>
      <c r="E112" s="8"/>
      <c r="F112" s="80">
        <f t="shared" si="4"/>
        <v>-1.0899999999999998E-3</v>
      </c>
      <c r="G112" s="80"/>
      <c r="H112" s="89">
        <f t="shared" si="5"/>
        <v>2.1800000000000005E-3</v>
      </c>
      <c r="I112" s="89"/>
      <c r="J112" s="89">
        <f t="shared" si="6"/>
        <v>5.45E-3</v>
      </c>
      <c r="K112" s="89"/>
      <c r="L112" s="7"/>
    </row>
    <row r="113" spans="2:12" x14ac:dyDescent="0.3">
      <c r="B113" s="4">
        <v>45876</v>
      </c>
      <c r="C113" s="5">
        <v>1.15E-2</v>
      </c>
      <c r="D113" s="5">
        <v>9.7000000000000003E-3</v>
      </c>
      <c r="E113" s="8"/>
      <c r="F113" s="80">
        <f t="shared" si="4"/>
        <v>1.0239999999999999E-2</v>
      </c>
      <c r="G113" s="80"/>
      <c r="H113" s="89">
        <f t="shared" si="5"/>
        <v>1.0419999999999999E-2</v>
      </c>
      <c r="I113" s="89"/>
      <c r="J113" s="89">
        <f t="shared" si="6"/>
        <v>1.06E-2</v>
      </c>
      <c r="K113" s="89"/>
      <c r="L113" s="7"/>
    </row>
    <row r="114" spans="2:12" x14ac:dyDescent="0.3">
      <c r="B114" s="4">
        <v>45877</v>
      </c>
      <c r="C114" s="5">
        <v>-3.44E-2</v>
      </c>
      <c r="D114" s="5">
        <v>-2.8E-3</v>
      </c>
      <c r="E114" s="8"/>
      <c r="F114" s="80">
        <f t="shared" si="4"/>
        <v>-1.2279999999999999E-2</v>
      </c>
      <c r="G114" s="80"/>
      <c r="H114" s="89">
        <f t="shared" si="5"/>
        <v>-1.5440000000000001E-2</v>
      </c>
      <c r="I114" s="89"/>
      <c r="J114" s="89">
        <f t="shared" si="6"/>
        <v>-1.8599999999999998E-2</v>
      </c>
      <c r="K114" s="89"/>
      <c r="L114" s="7"/>
    </row>
    <row r="115" spans="2:12" x14ac:dyDescent="0.3">
      <c r="B115" s="4">
        <v>45880</v>
      </c>
      <c r="C115" s="5">
        <v>4.1300000000000003E-2</v>
      </c>
      <c r="D115" s="5">
        <v>2.8199999999999999E-2</v>
      </c>
      <c r="E115" s="8"/>
      <c r="F115" s="80">
        <f t="shared" si="4"/>
        <v>3.2129999999999999E-2</v>
      </c>
      <c r="G115" s="80"/>
      <c r="H115" s="89">
        <f t="shared" si="5"/>
        <v>3.3439999999999998E-2</v>
      </c>
      <c r="I115" s="89"/>
      <c r="J115" s="89">
        <f t="shared" si="6"/>
        <v>3.4750000000000003E-2</v>
      </c>
      <c r="K115" s="89"/>
      <c r="L115" s="7"/>
    </row>
    <row r="116" spans="2:12" x14ac:dyDescent="0.3">
      <c r="B116" s="4">
        <v>45881</v>
      </c>
      <c r="C116" s="5">
        <v>-1.8599999999999998E-2</v>
      </c>
      <c r="D116" s="5">
        <v>-1.1299999999999999E-2</v>
      </c>
      <c r="E116" s="8"/>
      <c r="F116" s="80">
        <f t="shared" si="4"/>
        <v>-1.3489999999999999E-2</v>
      </c>
      <c r="G116" s="80"/>
      <c r="H116" s="89">
        <f t="shared" si="5"/>
        <v>-1.422E-2</v>
      </c>
      <c r="I116" s="89"/>
      <c r="J116" s="89">
        <f t="shared" si="6"/>
        <v>-1.4949999999999998E-2</v>
      </c>
      <c r="K116" s="89"/>
      <c r="L116" s="7"/>
    </row>
    <row r="117" spans="2:12" x14ac:dyDescent="0.3">
      <c r="B117" s="4">
        <v>45882</v>
      </c>
      <c r="C117" s="5">
        <v>1.8200000000000001E-2</v>
      </c>
      <c r="D117" s="5">
        <v>2.1100000000000001E-2</v>
      </c>
      <c r="E117" s="8"/>
      <c r="F117" s="80">
        <f t="shared" si="4"/>
        <v>2.0230000000000001E-2</v>
      </c>
      <c r="G117" s="80"/>
      <c r="H117" s="89">
        <f t="shared" si="5"/>
        <v>1.9939999999999999E-2</v>
      </c>
      <c r="I117" s="89"/>
      <c r="J117" s="89">
        <f t="shared" si="6"/>
        <v>1.9650000000000001E-2</v>
      </c>
      <c r="K117" s="89"/>
      <c r="L117" s="7"/>
    </row>
    <row r="118" spans="2:12" x14ac:dyDescent="0.3">
      <c r="B118" s="4">
        <v>45883</v>
      </c>
      <c r="C118" s="5">
        <v>-5.0000000000000001E-3</v>
      </c>
      <c r="D118" s="5">
        <v>1.9400000000000001E-2</v>
      </c>
      <c r="E118" s="8"/>
      <c r="F118" s="80">
        <f t="shared" si="4"/>
        <v>1.208E-2</v>
      </c>
      <c r="G118" s="80"/>
      <c r="H118" s="89">
        <f t="shared" si="5"/>
        <v>9.6399999999999993E-3</v>
      </c>
      <c r="I118" s="89"/>
      <c r="J118" s="89">
        <f t="shared" si="6"/>
        <v>7.1999999999999998E-3</v>
      </c>
      <c r="K118" s="89"/>
      <c r="L118" s="7"/>
    </row>
    <row r="119" spans="2:12" x14ac:dyDescent="0.3">
      <c r="B119" s="4">
        <v>45887</v>
      </c>
      <c r="C119" s="5">
        <v>3.5999999999999999E-3</v>
      </c>
      <c r="D119" s="5">
        <v>-1.0999999999999999E-2</v>
      </c>
      <c r="E119" s="8"/>
      <c r="F119" s="80">
        <f t="shared" si="4"/>
        <v>-6.6199999999999991E-3</v>
      </c>
      <c r="G119" s="80"/>
      <c r="H119" s="89">
        <f t="shared" si="5"/>
        <v>-5.1599999999999988E-3</v>
      </c>
      <c r="I119" s="89"/>
      <c r="J119" s="89">
        <f t="shared" si="6"/>
        <v>-3.6999999999999997E-3</v>
      </c>
      <c r="K119" s="89"/>
      <c r="L119" s="7"/>
    </row>
    <row r="120" spans="2:12" x14ac:dyDescent="0.3">
      <c r="B120" s="4">
        <v>45888</v>
      </c>
      <c r="C120" s="5">
        <v>2.46E-2</v>
      </c>
      <c r="D120" s="5">
        <v>2.0799999999999999E-2</v>
      </c>
      <c r="E120" s="8"/>
      <c r="F120" s="80">
        <f t="shared" si="4"/>
        <v>2.1939999999999998E-2</v>
      </c>
      <c r="G120" s="80"/>
      <c r="H120" s="89">
        <f t="shared" si="5"/>
        <v>2.232E-2</v>
      </c>
      <c r="I120" s="89"/>
      <c r="J120" s="89">
        <f t="shared" si="6"/>
        <v>2.2699999999999998E-2</v>
      </c>
      <c r="K120" s="89"/>
      <c r="L120" s="7"/>
    </row>
    <row r="121" spans="2:12" x14ac:dyDescent="0.3">
      <c r="B121" s="4">
        <v>45889</v>
      </c>
      <c r="C121" s="5">
        <v>2.7699999999999999E-2</v>
      </c>
      <c r="D121" s="5">
        <v>1.5900000000000001E-2</v>
      </c>
      <c r="E121" s="8"/>
      <c r="F121" s="80">
        <f t="shared" si="4"/>
        <v>1.9439999999999999E-2</v>
      </c>
      <c r="G121" s="80"/>
      <c r="H121" s="89">
        <f t="shared" si="5"/>
        <v>2.0619999999999999E-2</v>
      </c>
      <c r="I121" s="89"/>
      <c r="J121" s="89">
        <f t="shared" si="6"/>
        <v>2.18E-2</v>
      </c>
      <c r="K121" s="89"/>
      <c r="L121" s="7"/>
    </row>
    <row r="122" spans="2:12" x14ac:dyDescent="0.3">
      <c r="B122" s="4">
        <v>45890</v>
      </c>
      <c r="C122" s="5">
        <v>3.4799999999999998E-2</v>
      </c>
      <c r="D122" s="5">
        <v>-1.4500000000000001E-2</v>
      </c>
      <c r="E122" s="8"/>
      <c r="F122" s="80">
        <f t="shared" si="4"/>
        <v>2.9000000000000033E-4</v>
      </c>
      <c r="G122" s="80"/>
      <c r="H122" s="89">
        <f t="shared" si="5"/>
        <v>5.2200000000000007E-3</v>
      </c>
      <c r="I122" s="89"/>
      <c r="J122" s="89">
        <f t="shared" si="6"/>
        <v>1.0149999999999999E-2</v>
      </c>
      <c r="K122" s="89"/>
      <c r="L122" s="7"/>
    </row>
    <row r="123" spans="2:12" x14ac:dyDescent="0.3">
      <c r="B123" s="4">
        <v>45891</v>
      </c>
      <c r="C123" s="5">
        <v>-1.7899999999999999E-2</v>
      </c>
      <c r="D123" s="5">
        <v>-8.3999999999999995E-3</v>
      </c>
      <c r="E123" s="8"/>
      <c r="F123" s="80">
        <f t="shared" si="4"/>
        <v>-1.125E-2</v>
      </c>
      <c r="G123" s="80"/>
      <c r="H123" s="89">
        <f t="shared" si="5"/>
        <v>-1.2199999999999999E-2</v>
      </c>
      <c r="I123" s="89"/>
      <c r="J123" s="89">
        <f t="shared" si="6"/>
        <v>-1.3149999999999998E-2</v>
      </c>
      <c r="K123" s="89"/>
      <c r="L123" s="7"/>
    </row>
    <row r="124" spans="2:12" x14ac:dyDescent="0.3">
      <c r="B124" s="4">
        <v>45894</v>
      </c>
      <c r="C124" s="5">
        <v>-5.3E-3</v>
      </c>
      <c r="D124" s="5">
        <v>5.0000000000000001E-4</v>
      </c>
      <c r="E124" s="8"/>
      <c r="F124" s="80">
        <f t="shared" si="4"/>
        <v>-1.24E-3</v>
      </c>
      <c r="G124" s="80"/>
      <c r="H124" s="89">
        <f t="shared" si="5"/>
        <v>-1.82E-3</v>
      </c>
      <c r="I124" s="89"/>
      <c r="J124" s="89">
        <f t="shared" si="6"/>
        <v>-2.4000000000000002E-3</v>
      </c>
      <c r="K124" s="89"/>
      <c r="L124" s="7"/>
    </row>
    <row r="125" spans="2:12" x14ac:dyDescent="0.3">
      <c r="B125" s="4">
        <v>45895</v>
      </c>
      <c r="C125" s="5">
        <v>1.15E-2</v>
      </c>
      <c r="D125" s="5">
        <v>-4.1999999999999997E-3</v>
      </c>
      <c r="E125" s="8"/>
      <c r="F125" s="80">
        <f t="shared" si="4"/>
        <v>5.1000000000000047E-4</v>
      </c>
      <c r="G125" s="80"/>
      <c r="H125" s="89">
        <f t="shared" si="5"/>
        <v>2.0800000000000003E-3</v>
      </c>
      <c r="I125" s="89"/>
      <c r="J125" s="89">
        <f t="shared" si="6"/>
        <v>3.65E-3</v>
      </c>
      <c r="K125" s="89"/>
      <c r="L125" s="7"/>
    </row>
    <row r="126" spans="2:12" x14ac:dyDescent="0.3">
      <c r="B126" s="4">
        <v>45897</v>
      </c>
      <c r="C126" s="5">
        <v>-2.2200000000000001E-2</v>
      </c>
      <c r="D126" s="5">
        <v>-7.4999999999999997E-3</v>
      </c>
      <c r="E126" s="8"/>
      <c r="F126" s="80">
        <f t="shared" si="4"/>
        <v>-1.191E-2</v>
      </c>
      <c r="G126" s="80"/>
      <c r="H126" s="89">
        <f t="shared" si="5"/>
        <v>-1.338E-2</v>
      </c>
      <c r="I126" s="89"/>
      <c r="J126" s="89">
        <f t="shared" si="6"/>
        <v>-1.485E-2</v>
      </c>
      <c r="K126" s="89"/>
      <c r="L126" s="7"/>
    </row>
    <row r="127" spans="2:12" x14ac:dyDescent="0.3">
      <c r="B127" s="4">
        <v>45898</v>
      </c>
      <c r="C127" s="5">
        <v>-2.6700000000000002E-2</v>
      </c>
      <c r="D127" s="5">
        <v>-4.8999999999999998E-3</v>
      </c>
      <c r="E127" s="8"/>
      <c r="F127" s="80">
        <f t="shared" si="4"/>
        <v>-1.1439999999999999E-2</v>
      </c>
      <c r="G127" s="80"/>
      <c r="H127" s="89">
        <f t="shared" si="5"/>
        <v>-1.3620000000000002E-2</v>
      </c>
      <c r="I127" s="89"/>
      <c r="J127" s="89">
        <f t="shared" si="6"/>
        <v>-1.5800000000000002E-2</v>
      </c>
      <c r="K127" s="89"/>
      <c r="L127" s="7"/>
    </row>
    <row r="128" spans="2:12" x14ac:dyDescent="0.3">
      <c r="B128" s="4">
        <v>45901</v>
      </c>
      <c r="C128" s="5">
        <v>4.58E-2</v>
      </c>
      <c r="D128" s="5">
        <v>2.2800000000000001E-2</v>
      </c>
      <c r="E128" s="8"/>
      <c r="F128" s="80">
        <f t="shared" si="4"/>
        <v>2.9699999999999997E-2</v>
      </c>
      <c r="G128" s="80"/>
      <c r="H128" s="89">
        <f t="shared" si="5"/>
        <v>3.2000000000000001E-2</v>
      </c>
      <c r="I128" s="89"/>
      <c r="J128" s="89">
        <f t="shared" si="6"/>
        <v>3.4299999999999997E-2</v>
      </c>
      <c r="K128" s="89"/>
      <c r="L128" s="7"/>
    </row>
    <row r="129" spans="2:12" x14ac:dyDescent="0.3">
      <c r="B129" s="4">
        <v>45902</v>
      </c>
      <c r="C129" s="5">
        <v>-6.0000000000000001E-3</v>
      </c>
      <c r="D129" s="5">
        <v>4.0000000000000001E-3</v>
      </c>
      <c r="E129" s="8"/>
      <c r="F129" s="80">
        <f t="shared" si="4"/>
        <v>1E-3</v>
      </c>
      <c r="G129" s="80"/>
      <c r="H129" s="89">
        <f t="shared" si="5"/>
        <v>0</v>
      </c>
      <c r="I129" s="89"/>
      <c r="J129" s="89">
        <f t="shared" si="6"/>
        <v>-1E-3</v>
      </c>
      <c r="K129" s="89"/>
      <c r="L129" s="7"/>
    </row>
    <row r="130" spans="2:12" x14ac:dyDescent="0.3">
      <c r="B130" s="4">
        <v>45903</v>
      </c>
      <c r="C130" s="5">
        <v>1.09E-2</v>
      </c>
      <c r="D130" s="5">
        <v>1.15E-2</v>
      </c>
      <c r="E130" s="8"/>
      <c r="F130" s="80">
        <f t="shared" si="4"/>
        <v>1.132E-2</v>
      </c>
      <c r="G130" s="80"/>
      <c r="H130" s="89">
        <f t="shared" si="5"/>
        <v>1.1259999999999999E-2</v>
      </c>
      <c r="I130" s="89"/>
      <c r="J130" s="89">
        <f t="shared" si="6"/>
        <v>1.12E-2</v>
      </c>
      <c r="K130" s="89"/>
      <c r="L130" s="7"/>
    </row>
    <row r="131" spans="2:12" x14ac:dyDescent="0.3">
      <c r="B131" s="4">
        <v>45904</v>
      </c>
      <c r="C131" s="5">
        <v>-1.7399999999999999E-2</v>
      </c>
      <c r="D131" s="5">
        <v>5.0000000000000001E-4</v>
      </c>
      <c r="E131" s="8"/>
      <c r="F131" s="80">
        <f t="shared" si="4"/>
        <v>-4.8700000000000002E-3</v>
      </c>
      <c r="G131" s="80"/>
      <c r="H131" s="89">
        <f t="shared" si="5"/>
        <v>-6.6600000000000001E-3</v>
      </c>
      <c r="I131" s="89"/>
      <c r="J131" s="89">
        <f t="shared" si="6"/>
        <v>-8.4499999999999992E-3</v>
      </c>
      <c r="K131" s="89"/>
      <c r="L131" s="7"/>
    </row>
    <row r="132" spans="2:12" x14ac:dyDescent="0.3">
      <c r="B132" s="4">
        <v>45905</v>
      </c>
      <c r="C132" s="5">
        <v>3.7699999999999997E-2</v>
      </c>
      <c r="D132" s="5">
        <v>8.8999999999999999E-3</v>
      </c>
      <c r="E132" s="8"/>
      <c r="F132" s="80">
        <f t="shared" si="4"/>
        <v>1.754E-2</v>
      </c>
      <c r="G132" s="80"/>
      <c r="H132" s="89">
        <f t="shared" si="5"/>
        <v>2.0420000000000001E-2</v>
      </c>
      <c r="I132" s="89"/>
      <c r="J132" s="89">
        <f t="shared" si="6"/>
        <v>2.3299999999999998E-2</v>
      </c>
      <c r="K132" s="89"/>
      <c r="L132" s="7"/>
    </row>
    <row r="133" spans="2:12" x14ac:dyDescent="0.3">
      <c r="B133" s="4">
        <v>45908</v>
      </c>
      <c r="C133" s="5">
        <v>9.2999999999999992E-3</v>
      </c>
      <c r="D133" s="5">
        <v>1.5E-3</v>
      </c>
      <c r="E133" s="8"/>
      <c r="F133" s="80">
        <f t="shared" ref="F133:F196" si="7">C133*0.3+D133*0.7</f>
        <v>3.8399999999999997E-3</v>
      </c>
      <c r="G133" s="80"/>
      <c r="H133" s="89">
        <f t="shared" ref="H133:H196" si="8">0.4*C133+D133*0.6</f>
        <v>4.62E-3</v>
      </c>
      <c r="I133" s="89"/>
      <c r="J133" s="89">
        <f t="shared" ref="J133:J196" si="9">0.5*C133+0.5*D133</f>
        <v>5.3999999999999994E-3</v>
      </c>
      <c r="K133" s="89"/>
      <c r="L133" s="7"/>
    </row>
    <row r="134" spans="2:12" x14ac:dyDescent="0.3">
      <c r="B134" s="4">
        <v>45909</v>
      </c>
      <c r="C134" s="5">
        <v>-1.47E-2</v>
      </c>
      <c r="D134" s="5">
        <v>-1.2E-2</v>
      </c>
      <c r="E134" s="8"/>
      <c r="F134" s="80">
        <f t="shared" si="7"/>
        <v>-1.2809999999999998E-2</v>
      </c>
      <c r="G134" s="80"/>
      <c r="H134" s="89">
        <f t="shared" si="8"/>
        <v>-1.308E-2</v>
      </c>
      <c r="I134" s="89"/>
      <c r="J134" s="89">
        <f t="shared" si="9"/>
        <v>-1.3350000000000001E-2</v>
      </c>
      <c r="K134" s="89"/>
      <c r="L134" s="7"/>
    </row>
    <row r="135" spans="2:12" x14ac:dyDescent="0.3">
      <c r="B135" s="4">
        <v>45910</v>
      </c>
      <c r="C135" s="5">
        <v>-2.92E-2</v>
      </c>
      <c r="D135" s="5">
        <v>-4.0000000000000001E-3</v>
      </c>
      <c r="E135" s="8"/>
      <c r="F135" s="80">
        <f t="shared" si="7"/>
        <v>-1.1560000000000001E-2</v>
      </c>
      <c r="G135" s="80"/>
      <c r="H135" s="89">
        <f t="shared" si="8"/>
        <v>-1.4080000000000001E-2</v>
      </c>
      <c r="I135" s="89"/>
      <c r="J135" s="89">
        <f t="shared" si="9"/>
        <v>-1.66E-2</v>
      </c>
      <c r="K135" s="89"/>
      <c r="L135" s="7"/>
    </row>
    <row r="136" spans="2:12" x14ac:dyDescent="0.3">
      <c r="B136" s="4">
        <v>45911</v>
      </c>
      <c r="C136" s="5">
        <v>-5.0000000000000001E-4</v>
      </c>
      <c r="D136" s="5">
        <v>1.14E-2</v>
      </c>
      <c r="E136" s="8"/>
      <c r="F136" s="80">
        <f t="shared" si="7"/>
        <v>7.8299999999999984E-3</v>
      </c>
      <c r="G136" s="80"/>
      <c r="H136" s="89">
        <f t="shared" si="8"/>
        <v>6.6400000000000001E-3</v>
      </c>
      <c r="I136" s="89"/>
      <c r="J136" s="89">
        <f t="shared" si="9"/>
        <v>5.45E-3</v>
      </c>
      <c r="K136" s="89"/>
      <c r="L136" s="7"/>
    </row>
    <row r="137" spans="2:12" x14ac:dyDescent="0.3">
      <c r="B137" s="4">
        <v>45912</v>
      </c>
      <c r="C137" s="5">
        <v>-7.4000000000000003E-3</v>
      </c>
      <c r="D137" s="5">
        <v>-2.0400000000000001E-2</v>
      </c>
      <c r="E137" s="8"/>
      <c r="F137" s="80">
        <f t="shared" si="7"/>
        <v>-1.6500000000000001E-2</v>
      </c>
      <c r="G137" s="80"/>
      <c r="H137" s="89">
        <f t="shared" si="8"/>
        <v>-1.5200000000000002E-2</v>
      </c>
      <c r="I137" s="89"/>
      <c r="J137" s="89">
        <f t="shared" si="9"/>
        <v>-1.3900000000000001E-2</v>
      </c>
      <c r="K137" s="89"/>
      <c r="L137" s="7"/>
    </row>
    <row r="138" spans="2:12" x14ac:dyDescent="0.3">
      <c r="B138" s="4">
        <v>45915</v>
      </c>
      <c r="C138" s="5">
        <v>1.0200000000000001E-2</v>
      </c>
      <c r="D138" s="5">
        <v>5.8999999999999999E-3</v>
      </c>
      <c r="E138" s="8"/>
      <c r="F138" s="80">
        <f t="shared" si="7"/>
        <v>7.1900000000000002E-3</v>
      </c>
      <c r="G138" s="80"/>
      <c r="H138" s="89">
        <f t="shared" si="8"/>
        <v>7.62E-3</v>
      </c>
      <c r="I138" s="89"/>
      <c r="J138" s="89">
        <f t="shared" si="9"/>
        <v>8.0499999999999999E-3</v>
      </c>
      <c r="K138" s="89"/>
      <c r="L138" s="7"/>
    </row>
    <row r="139" spans="2:12" x14ac:dyDescent="0.3">
      <c r="B139" s="4">
        <v>45916</v>
      </c>
      <c r="C139" s="5">
        <v>2.9100000000000001E-2</v>
      </c>
      <c r="D139" s="5">
        <v>1.24E-2</v>
      </c>
      <c r="E139" s="8"/>
      <c r="F139" s="80">
        <f t="shared" si="7"/>
        <v>1.7409999999999998E-2</v>
      </c>
      <c r="G139" s="80"/>
      <c r="H139" s="89">
        <f t="shared" si="8"/>
        <v>1.908E-2</v>
      </c>
      <c r="I139" s="89"/>
      <c r="J139" s="89">
        <f t="shared" si="9"/>
        <v>2.0750000000000001E-2</v>
      </c>
      <c r="K139" s="89"/>
      <c r="L139" s="7"/>
    </row>
    <row r="140" spans="2:12" x14ac:dyDescent="0.3">
      <c r="B140" s="4">
        <v>45917</v>
      </c>
      <c r="C140" s="5">
        <v>8.6E-3</v>
      </c>
      <c r="D140" s="5">
        <v>2.8999999999999998E-3</v>
      </c>
      <c r="E140" s="8"/>
      <c r="F140" s="80">
        <f t="shared" si="7"/>
        <v>4.6099999999999995E-3</v>
      </c>
      <c r="G140" s="80"/>
      <c r="H140" s="89">
        <f t="shared" si="8"/>
        <v>5.1800000000000006E-3</v>
      </c>
      <c r="I140" s="89"/>
      <c r="J140" s="89">
        <f t="shared" si="9"/>
        <v>5.7499999999999999E-3</v>
      </c>
      <c r="K140" s="89"/>
      <c r="L140" s="7"/>
    </row>
    <row r="141" spans="2:12" x14ac:dyDescent="0.3">
      <c r="B141" s="4">
        <v>45918</v>
      </c>
      <c r="C141" s="5">
        <v>8.0999999999999996E-3</v>
      </c>
      <c r="D141" s="5">
        <v>2.92E-2</v>
      </c>
      <c r="E141" s="8"/>
      <c r="F141" s="80">
        <f t="shared" si="7"/>
        <v>2.2870000000000001E-2</v>
      </c>
      <c r="G141" s="80"/>
      <c r="H141" s="89">
        <f t="shared" si="8"/>
        <v>2.0760000000000001E-2</v>
      </c>
      <c r="I141" s="89"/>
      <c r="J141" s="89">
        <f t="shared" si="9"/>
        <v>1.865E-2</v>
      </c>
      <c r="K141" s="89"/>
      <c r="L141" s="7"/>
    </row>
    <row r="142" spans="2:12" x14ac:dyDescent="0.3">
      <c r="B142" s="4">
        <v>45919</v>
      </c>
      <c r="C142" s="5">
        <v>3.1399999999999997E-2</v>
      </c>
      <c r="D142" s="5">
        <v>-3.8E-3</v>
      </c>
      <c r="E142" s="8"/>
      <c r="F142" s="80">
        <f t="shared" si="7"/>
        <v>6.7599999999999995E-3</v>
      </c>
      <c r="G142" s="80"/>
      <c r="H142" s="89">
        <f t="shared" si="8"/>
        <v>1.0280000000000001E-2</v>
      </c>
      <c r="I142" s="89"/>
      <c r="J142" s="89">
        <f t="shared" si="9"/>
        <v>1.3799999999999998E-2</v>
      </c>
      <c r="K142" s="89"/>
      <c r="L142" s="7"/>
    </row>
    <row r="143" spans="2:12" x14ac:dyDescent="0.3">
      <c r="B143" s="4">
        <v>45922</v>
      </c>
      <c r="C143" s="5">
        <v>-1.9400000000000001E-2</v>
      </c>
      <c r="D143" s="5">
        <v>1.5699999999999999E-2</v>
      </c>
      <c r="E143" s="8"/>
      <c r="F143" s="80">
        <f t="shared" si="7"/>
        <v>5.1699999999999984E-3</v>
      </c>
      <c r="G143" s="80"/>
      <c r="H143" s="89">
        <f t="shared" si="8"/>
        <v>1.6599999999999991E-3</v>
      </c>
      <c r="I143" s="89"/>
      <c r="J143" s="89">
        <f t="shared" si="9"/>
        <v>-1.8500000000000009E-3</v>
      </c>
      <c r="K143" s="89"/>
      <c r="L143" s="7"/>
    </row>
    <row r="144" spans="2:12" x14ac:dyDescent="0.3">
      <c r="B144" s="4">
        <v>45923</v>
      </c>
      <c r="C144" s="5">
        <v>-8.0000000000000004E-4</v>
      </c>
      <c r="D144" s="5">
        <v>-1.0200000000000001E-2</v>
      </c>
      <c r="E144" s="8"/>
      <c r="F144" s="80">
        <f t="shared" si="7"/>
        <v>-7.3799999999999994E-3</v>
      </c>
      <c r="G144" s="80"/>
      <c r="H144" s="89">
        <f t="shared" si="8"/>
        <v>-6.4400000000000004E-3</v>
      </c>
      <c r="I144" s="89"/>
      <c r="J144" s="89">
        <f t="shared" si="9"/>
        <v>-5.5000000000000005E-3</v>
      </c>
      <c r="K144" s="89"/>
      <c r="L144" s="7"/>
    </row>
    <row r="145" spans="2:12" x14ac:dyDescent="0.3">
      <c r="B145" s="4">
        <v>45924</v>
      </c>
      <c r="C145" s="5">
        <v>-2.3900000000000001E-2</v>
      </c>
      <c r="D145" s="5">
        <v>-7.4999999999999997E-3</v>
      </c>
      <c r="E145" s="8"/>
      <c r="F145" s="80">
        <f t="shared" si="7"/>
        <v>-1.242E-2</v>
      </c>
      <c r="G145" s="80"/>
      <c r="H145" s="89">
        <f t="shared" si="8"/>
        <v>-1.406E-2</v>
      </c>
      <c r="I145" s="89"/>
      <c r="J145" s="89">
        <f t="shared" si="9"/>
        <v>-1.5699999999999999E-2</v>
      </c>
      <c r="K145" s="89"/>
      <c r="L145" s="7"/>
    </row>
    <row r="146" spans="2:12" x14ac:dyDescent="0.3">
      <c r="B146" s="4">
        <v>45925</v>
      </c>
      <c r="C146" s="5">
        <v>-2.8199999999999999E-2</v>
      </c>
      <c r="D146" s="5">
        <v>-1.06E-2</v>
      </c>
      <c r="E146" s="8"/>
      <c r="F146" s="80">
        <f t="shared" si="7"/>
        <v>-1.5879999999999998E-2</v>
      </c>
      <c r="G146" s="80"/>
      <c r="H146" s="89">
        <f t="shared" si="8"/>
        <v>-1.7639999999999999E-2</v>
      </c>
      <c r="I146" s="89"/>
      <c r="J146" s="89">
        <f t="shared" si="9"/>
        <v>-1.9400000000000001E-2</v>
      </c>
      <c r="K146" s="89"/>
      <c r="L146" s="7"/>
    </row>
    <row r="147" spans="2:12" x14ac:dyDescent="0.3">
      <c r="B147" s="4">
        <v>45926</v>
      </c>
      <c r="C147" s="5">
        <v>-1.2800000000000001E-2</v>
      </c>
      <c r="D147" s="5">
        <v>-3.39E-2</v>
      </c>
      <c r="E147" s="8"/>
      <c r="F147" s="80">
        <f t="shared" si="7"/>
        <v>-2.7569999999999997E-2</v>
      </c>
      <c r="G147" s="80"/>
      <c r="H147" s="89">
        <f t="shared" si="8"/>
        <v>-2.546E-2</v>
      </c>
      <c r="I147" s="89"/>
      <c r="J147" s="89">
        <f t="shared" si="9"/>
        <v>-2.3349999999999999E-2</v>
      </c>
      <c r="K147" s="89"/>
      <c r="L147" s="7"/>
    </row>
    <row r="148" spans="2:12" x14ac:dyDescent="0.3">
      <c r="B148" s="4">
        <v>45929</v>
      </c>
      <c r="C148" s="5">
        <v>-9.9000000000000008E-3</v>
      </c>
      <c r="D148" s="5">
        <v>1.2E-2</v>
      </c>
      <c r="E148" s="8"/>
      <c r="F148" s="80">
        <f t="shared" si="7"/>
        <v>5.4299999999999991E-3</v>
      </c>
      <c r="G148" s="80"/>
      <c r="H148" s="89">
        <f t="shared" si="8"/>
        <v>3.239999999999999E-3</v>
      </c>
      <c r="I148" s="89"/>
      <c r="J148" s="89">
        <f t="shared" si="9"/>
        <v>1.0499999999999997E-3</v>
      </c>
      <c r="K148" s="89"/>
      <c r="L148" s="7"/>
    </row>
    <row r="149" spans="2:12" x14ac:dyDescent="0.3">
      <c r="B149" s="4">
        <v>45930</v>
      </c>
      <c r="C149" s="5">
        <v>1.55E-2</v>
      </c>
      <c r="D149" s="5">
        <v>2E-3</v>
      </c>
      <c r="E149" s="8"/>
      <c r="F149" s="80">
        <f t="shared" si="7"/>
        <v>6.0499999999999998E-3</v>
      </c>
      <c r="G149" s="80"/>
      <c r="H149" s="89">
        <f t="shared" si="8"/>
        <v>7.4000000000000003E-3</v>
      </c>
      <c r="I149" s="89"/>
      <c r="J149" s="89">
        <f t="shared" si="9"/>
        <v>8.7500000000000008E-3</v>
      </c>
      <c r="K149" s="89"/>
      <c r="L149" s="7"/>
    </row>
    <row r="150" spans="2:12" x14ac:dyDescent="0.3">
      <c r="B150" s="4">
        <v>45931</v>
      </c>
      <c r="C150" s="5">
        <v>-1.23E-2</v>
      </c>
      <c r="D150" s="5">
        <v>1.0800000000000001E-2</v>
      </c>
      <c r="E150" s="8"/>
      <c r="F150" s="80">
        <f t="shared" si="7"/>
        <v>3.8700000000000002E-3</v>
      </c>
      <c r="G150" s="80"/>
      <c r="H150" s="89">
        <f t="shared" si="8"/>
        <v>1.5599999999999998E-3</v>
      </c>
      <c r="I150" s="89"/>
      <c r="J150" s="89">
        <f t="shared" si="9"/>
        <v>-7.499999999999998E-4</v>
      </c>
      <c r="K150" s="89"/>
      <c r="L150" s="7"/>
    </row>
    <row r="151" spans="2:12" x14ac:dyDescent="0.3">
      <c r="B151" s="4">
        <v>45933</v>
      </c>
      <c r="C151" s="5">
        <v>-9.2999999999999992E-3</v>
      </c>
      <c r="D151" s="5">
        <v>-1.6999999999999999E-3</v>
      </c>
      <c r="E151" s="8"/>
      <c r="F151" s="80">
        <f t="shared" si="7"/>
        <v>-3.9799999999999992E-3</v>
      </c>
      <c r="G151" s="80"/>
      <c r="H151" s="89">
        <f t="shared" si="8"/>
        <v>-4.7399999999999994E-3</v>
      </c>
      <c r="I151" s="89"/>
      <c r="J151" s="89">
        <f t="shared" si="9"/>
        <v>-5.4999999999999997E-3</v>
      </c>
      <c r="K151" s="89"/>
      <c r="L151" s="7"/>
    </row>
    <row r="152" spans="2:12" x14ac:dyDescent="0.3">
      <c r="B152" s="4">
        <v>45936</v>
      </c>
      <c r="C152" s="5">
        <v>1.8599999999999998E-2</v>
      </c>
      <c r="D152" s="5">
        <v>2.0199999999999999E-2</v>
      </c>
      <c r="E152" s="8"/>
      <c r="F152" s="80">
        <f t="shared" si="7"/>
        <v>1.9719999999999998E-2</v>
      </c>
      <c r="G152" s="80"/>
      <c r="H152" s="89">
        <f t="shared" si="8"/>
        <v>1.9559999999999998E-2</v>
      </c>
      <c r="I152" s="89"/>
      <c r="J152" s="89">
        <f t="shared" si="9"/>
        <v>1.9400000000000001E-2</v>
      </c>
      <c r="K152" s="89"/>
      <c r="L152" s="7"/>
    </row>
    <row r="153" spans="2:12" x14ac:dyDescent="0.3">
      <c r="B153" s="4">
        <v>45937</v>
      </c>
      <c r="C153" s="5">
        <v>-1.9E-3</v>
      </c>
      <c r="D153" s="5">
        <v>8.2000000000000007E-3</v>
      </c>
      <c r="E153" s="8"/>
      <c r="F153" s="80">
        <f t="shared" si="7"/>
        <v>5.1700000000000001E-3</v>
      </c>
      <c r="G153" s="80"/>
      <c r="H153" s="89">
        <f t="shared" si="8"/>
        <v>4.1599999999999996E-3</v>
      </c>
      <c r="I153" s="89"/>
      <c r="J153" s="89">
        <f t="shared" si="9"/>
        <v>3.1500000000000005E-3</v>
      </c>
      <c r="K153" s="89"/>
      <c r="L153" s="7"/>
    </row>
    <row r="154" spans="2:12" x14ac:dyDescent="0.3">
      <c r="B154" s="4">
        <v>45938</v>
      </c>
      <c r="C154" s="5">
        <v>4.0000000000000002E-4</v>
      </c>
      <c r="D154" s="5">
        <v>1.12E-2</v>
      </c>
      <c r="E154" s="8"/>
      <c r="F154" s="80">
        <f t="shared" si="7"/>
        <v>7.9600000000000001E-3</v>
      </c>
      <c r="G154" s="80"/>
      <c r="H154" s="89">
        <f t="shared" si="8"/>
        <v>6.8799999999999998E-3</v>
      </c>
      <c r="I154" s="89"/>
      <c r="J154" s="89">
        <f t="shared" si="9"/>
        <v>5.7999999999999996E-3</v>
      </c>
      <c r="K154" s="89"/>
      <c r="L154" s="7"/>
    </row>
    <row r="155" spans="2:12" x14ac:dyDescent="0.3">
      <c r="B155" s="4">
        <v>45939</v>
      </c>
      <c r="C155" s="5">
        <v>3.7999999999999999E-2</v>
      </c>
      <c r="D155" s="5">
        <v>1.1299999999999999E-2</v>
      </c>
      <c r="E155" s="8"/>
      <c r="F155" s="80">
        <f t="shared" si="7"/>
        <v>1.9309999999999997E-2</v>
      </c>
      <c r="G155" s="80"/>
      <c r="H155" s="89">
        <f t="shared" si="8"/>
        <v>2.198E-2</v>
      </c>
      <c r="I155" s="89"/>
      <c r="J155" s="89">
        <f t="shared" si="9"/>
        <v>2.4649999999999998E-2</v>
      </c>
      <c r="K155" s="89"/>
      <c r="L155" s="7"/>
    </row>
    <row r="156" spans="2:12" x14ac:dyDescent="0.3">
      <c r="B156" s="4">
        <v>45940</v>
      </c>
      <c r="C156" s="5">
        <v>-3.0999999999999999E-3</v>
      </c>
      <c r="D156" s="5">
        <v>8.0999999999999996E-3</v>
      </c>
      <c r="E156" s="8"/>
      <c r="F156" s="80">
        <f t="shared" si="7"/>
        <v>4.7399999999999994E-3</v>
      </c>
      <c r="G156" s="80"/>
      <c r="H156" s="89">
        <f t="shared" si="8"/>
        <v>3.62E-3</v>
      </c>
      <c r="I156" s="89"/>
      <c r="J156" s="89">
        <f t="shared" si="9"/>
        <v>2.4999999999999996E-3</v>
      </c>
      <c r="K156" s="89"/>
      <c r="L156" s="7"/>
    </row>
    <row r="157" spans="2:12" x14ac:dyDescent="0.3">
      <c r="B157" s="4">
        <v>45943</v>
      </c>
      <c r="C157" s="5">
        <v>-1.6999999999999999E-3</v>
      </c>
      <c r="D157" s="5">
        <v>1E-4</v>
      </c>
      <c r="E157" s="8"/>
      <c r="F157" s="80">
        <f t="shared" si="7"/>
        <v>-4.3999999999999996E-4</v>
      </c>
      <c r="G157" s="80"/>
      <c r="H157" s="89">
        <f t="shared" si="8"/>
        <v>-6.2E-4</v>
      </c>
      <c r="I157" s="89"/>
      <c r="J157" s="89">
        <f t="shared" si="9"/>
        <v>-7.9999999999999993E-4</v>
      </c>
      <c r="K157" s="89"/>
      <c r="L157" s="7"/>
    </row>
    <row r="158" spans="2:12" x14ac:dyDescent="0.3">
      <c r="B158" s="4">
        <v>45944</v>
      </c>
      <c r="C158" s="5">
        <v>1.23E-2</v>
      </c>
      <c r="D158" s="5">
        <v>-1.6999999999999999E-3</v>
      </c>
      <c r="E158" s="8"/>
      <c r="F158" s="80">
        <f t="shared" si="7"/>
        <v>2.4999999999999996E-3</v>
      </c>
      <c r="G158" s="80"/>
      <c r="H158" s="89">
        <f t="shared" si="8"/>
        <v>3.9000000000000007E-3</v>
      </c>
      <c r="I158" s="89"/>
      <c r="J158" s="89">
        <f t="shared" si="9"/>
        <v>5.3E-3</v>
      </c>
      <c r="K158" s="89"/>
      <c r="L158" s="7"/>
    </row>
    <row r="159" spans="2:12" x14ac:dyDescent="0.3">
      <c r="B159" s="4">
        <v>45945</v>
      </c>
      <c r="C159" s="5">
        <v>5.7999999999999996E-3</v>
      </c>
      <c r="D159" s="5">
        <v>1.9E-2</v>
      </c>
      <c r="E159" s="8"/>
      <c r="F159" s="80">
        <f t="shared" si="7"/>
        <v>1.504E-2</v>
      </c>
      <c r="G159" s="80"/>
      <c r="H159" s="89">
        <f t="shared" si="8"/>
        <v>1.372E-2</v>
      </c>
      <c r="I159" s="89"/>
      <c r="J159" s="89">
        <f t="shared" si="9"/>
        <v>1.24E-2</v>
      </c>
      <c r="K159" s="89"/>
      <c r="L159" s="7"/>
    </row>
    <row r="160" spans="2:12" x14ac:dyDescent="0.3">
      <c r="B160" s="4">
        <v>45946</v>
      </c>
      <c r="C160" s="5">
        <v>1.29E-2</v>
      </c>
      <c r="D160" s="5">
        <v>-1.83E-2</v>
      </c>
      <c r="E160" s="8"/>
      <c r="F160" s="80">
        <f t="shared" si="7"/>
        <v>-8.94E-3</v>
      </c>
      <c r="G160" s="80"/>
      <c r="H160" s="89">
        <f t="shared" si="8"/>
        <v>-5.8199999999999997E-3</v>
      </c>
      <c r="I160" s="89"/>
      <c r="J160" s="89">
        <f t="shared" si="9"/>
        <v>-2.7000000000000001E-3</v>
      </c>
      <c r="K160" s="89"/>
      <c r="L160" s="7"/>
    </row>
    <row r="161" spans="2:12" x14ac:dyDescent="0.3">
      <c r="B161" s="4">
        <v>45947</v>
      </c>
      <c r="C161" s="5">
        <v>-3.6200000000000003E-2</v>
      </c>
      <c r="D161" s="5">
        <v>-1.49E-2</v>
      </c>
      <c r="E161" s="8"/>
      <c r="F161" s="80">
        <f t="shared" si="7"/>
        <v>-2.129E-2</v>
      </c>
      <c r="G161" s="80"/>
      <c r="H161" s="89">
        <f t="shared" si="8"/>
        <v>-2.3420000000000003E-2</v>
      </c>
      <c r="I161" s="89"/>
      <c r="J161" s="89">
        <f t="shared" si="9"/>
        <v>-2.5550000000000003E-2</v>
      </c>
      <c r="K161" s="89"/>
      <c r="L161" s="7"/>
    </row>
    <row r="162" spans="2:12" x14ac:dyDescent="0.3">
      <c r="B162" s="4">
        <v>45950</v>
      </c>
      <c r="C162" s="5">
        <v>-2.3699999999999999E-2</v>
      </c>
      <c r="D162" s="5">
        <v>-1.3100000000000001E-2</v>
      </c>
      <c r="E162" s="8"/>
      <c r="F162" s="80">
        <f t="shared" si="7"/>
        <v>-1.6279999999999999E-2</v>
      </c>
      <c r="G162" s="80"/>
      <c r="H162" s="89">
        <f t="shared" si="8"/>
        <v>-1.7340000000000001E-2</v>
      </c>
      <c r="I162" s="89"/>
      <c r="J162" s="89">
        <f t="shared" si="9"/>
        <v>-1.84E-2</v>
      </c>
      <c r="K162" s="89"/>
      <c r="L162" s="7"/>
    </row>
    <row r="163" spans="2:12" x14ac:dyDescent="0.3">
      <c r="B163" s="4">
        <v>45951</v>
      </c>
      <c r="C163" s="5">
        <v>2.4199999999999999E-2</v>
      </c>
      <c r="D163" s="5">
        <v>-1E-4</v>
      </c>
      <c r="E163" s="8"/>
      <c r="F163" s="80">
        <f t="shared" si="7"/>
        <v>7.1899999999999993E-3</v>
      </c>
      <c r="G163" s="80"/>
      <c r="H163" s="89">
        <f t="shared" si="8"/>
        <v>9.6200000000000018E-3</v>
      </c>
      <c r="I163" s="89"/>
      <c r="J163" s="89">
        <f t="shared" si="9"/>
        <v>1.205E-2</v>
      </c>
      <c r="K163" s="89"/>
      <c r="L163" s="7"/>
    </row>
    <row r="164" spans="2:12" x14ac:dyDescent="0.3">
      <c r="B164" s="4">
        <v>45953</v>
      </c>
      <c r="C164" s="5">
        <v>-1.8100000000000002E-2</v>
      </c>
      <c r="D164" s="5">
        <v>-2.8799999999999999E-2</v>
      </c>
      <c r="E164" s="8"/>
      <c r="F164" s="80">
        <f t="shared" si="7"/>
        <v>-2.5589999999999998E-2</v>
      </c>
      <c r="G164" s="80"/>
      <c r="H164" s="89">
        <f t="shared" si="8"/>
        <v>-2.452E-2</v>
      </c>
      <c r="I164" s="89"/>
      <c r="J164" s="89">
        <f t="shared" si="9"/>
        <v>-2.3449999999999999E-2</v>
      </c>
      <c r="K164" s="89"/>
      <c r="L164" s="7"/>
    </row>
    <row r="165" spans="2:12" x14ac:dyDescent="0.3">
      <c r="B165" s="4">
        <v>45954</v>
      </c>
      <c r="C165" s="5">
        <v>1.4E-3</v>
      </c>
      <c r="D165" s="5">
        <v>-5.3E-3</v>
      </c>
      <c r="E165" s="8"/>
      <c r="F165" s="80">
        <f t="shared" si="7"/>
        <v>-3.29E-3</v>
      </c>
      <c r="G165" s="80"/>
      <c r="H165" s="89">
        <f t="shared" si="8"/>
        <v>-2.6199999999999999E-3</v>
      </c>
      <c r="I165" s="89"/>
      <c r="J165" s="89">
        <f t="shared" si="9"/>
        <v>-1.9499999999999999E-3</v>
      </c>
      <c r="K165" s="89"/>
      <c r="L165" s="7"/>
    </row>
    <row r="166" spans="2:12" x14ac:dyDescent="0.3">
      <c r="B166" s="4">
        <v>45957</v>
      </c>
      <c r="C166" s="5">
        <v>1.8E-3</v>
      </c>
      <c r="D166" s="5">
        <v>2.1700000000000001E-2</v>
      </c>
      <c r="E166" s="8"/>
      <c r="F166" s="80">
        <f t="shared" si="7"/>
        <v>1.5729999999999997E-2</v>
      </c>
      <c r="G166" s="80"/>
      <c r="H166" s="89">
        <f t="shared" si="8"/>
        <v>1.374E-2</v>
      </c>
      <c r="I166" s="89"/>
      <c r="J166" s="89">
        <f t="shared" si="9"/>
        <v>1.175E-2</v>
      </c>
      <c r="K166" s="89"/>
      <c r="L166" s="7"/>
    </row>
    <row r="167" spans="2:12" x14ac:dyDescent="0.3">
      <c r="B167" s="4">
        <v>45958</v>
      </c>
      <c r="C167" s="5">
        <v>-8.3000000000000001E-3</v>
      </c>
      <c r="D167" s="5">
        <v>2.7000000000000001E-3</v>
      </c>
      <c r="E167" s="8"/>
      <c r="F167" s="80">
        <f t="shared" si="7"/>
        <v>-6.0000000000000006E-4</v>
      </c>
      <c r="G167" s="80"/>
      <c r="H167" s="89">
        <f t="shared" si="8"/>
        <v>-1.6999999999999999E-3</v>
      </c>
      <c r="I167" s="89"/>
      <c r="J167" s="89">
        <f t="shared" si="9"/>
        <v>-2.8E-3</v>
      </c>
      <c r="K167" s="89"/>
      <c r="L167" s="7"/>
    </row>
    <row r="168" spans="2:12" x14ac:dyDescent="0.3">
      <c r="B168" s="4">
        <v>45959</v>
      </c>
      <c r="C168" s="5">
        <v>-7.4999999999999997E-3</v>
      </c>
      <c r="D168" s="5">
        <v>-1.24E-2</v>
      </c>
      <c r="E168" s="8"/>
      <c r="F168" s="80">
        <f t="shared" si="7"/>
        <v>-1.0929999999999999E-2</v>
      </c>
      <c r="G168" s="80"/>
      <c r="H168" s="89">
        <f t="shared" si="8"/>
        <v>-1.044E-2</v>
      </c>
      <c r="I168" s="89"/>
      <c r="J168" s="89">
        <f t="shared" si="9"/>
        <v>-9.9500000000000005E-3</v>
      </c>
      <c r="K168" s="89"/>
      <c r="L168" s="7"/>
    </row>
    <row r="169" spans="2:12" x14ac:dyDescent="0.3">
      <c r="B169" s="4">
        <v>45960</v>
      </c>
      <c r="C169" s="5">
        <v>-2.3999999999999998E-3</v>
      </c>
      <c r="D169" s="5">
        <v>-3.3E-3</v>
      </c>
      <c r="E169" s="8"/>
      <c r="F169" s="80">
        <f t="shared" si="7"/>
        <v>-3.0299999999999997E-3</v>
      </c>
      <c r="G169" s="80"/>
      <c r="H169" s="89">
        <f t="shared" si="8"/>
        <v>-2.9399999999999999E-3</v>
      </c>
      <c r="I169" s="89"/>
      <c r="J169" s="89">
        <f t="shared" si="9"/>
        <v>-2.8500000000000001E-3</v>
      </c>
      <c r="K169" s="89"/>
      <c r="L169" s="7"/>
    </row>
    <row r="170" spans="2:12" x14ac:dyDescent="0.3">
      <c r="B170" s="4">
        <v>45961</v>
      </c>
      <c r="C170" s="5">
        <v>-1.9099999999999999E-2</v>
      </c>
      <c r="D170" s="5">
        <v>-3.5200000000000002E-2</v>
      </c>
      <c r="E170" s="8"/>
      <c r="F170" s="80">
        <f t="shared" si="7"/>
        <v>-3.0369999999999998E-2</v>
      </c>
      <c r="G170" s="80"/>
      <c r="H170" s="89">
        <f t="shared" si="8"/>
        <v>-2.8760000000000001E-2</v>
      </c>
      <c r="I170" s="89"/>
      <c r="J170" s="89">
        <f t="shared" si="9"/>
        <v>-2.7150000000000001E-2</v>
      </c>
      <c r="K170" s="89"/>
      <c r="L170" s="7"/>
    </row>
    <row r="171" spans="2:12" x14ac:dyDescent="0.3">
      <c r="B171" s="4">
        <v>45964</v>
      </c>
      <c r="C171" s="5">
        <v>-1.83E-2</v>
      </c>
      <c r="D171" s="5">
        <v>1.5299999999999999E-2</v>
      </c>
      <c r="E171" s="8"/>
      <c r="F171" s="80">
        <f t="shared" si="7"/>
        <v>5.2199999999999989E-3</v>
      </c>
      <c r="G171" s="80"/>
      <c r="H171" s="89">
        <f t="shared" si="8"/>
        <v>1.8599999999999988E-3</v>
      </c>
      <c r="I171" s="89"/>
      <c r="J171" s="89">
        <f t="shared" si="9"/>
        <v>-1.5000000000000005E-3</v>
      </c>
      <c r="K171" s="89"/>
      <c r="L171" s="7"/>
    </row>
    <row r="172" spans="2:12" x14ac:dyDescent="0.3">
      <c r="B172" s="4">
        <v>45965</v>
      </c>
      <c r="C172" s="5">
        <v>2.7099999999999999E-2</v>
      </c>
      <c r="D172" s="5">
        <v>-2.8199999999999999E-2</v>
      </c>
      <c r="E172" s="8"/>
      <c r="F172" s="80">
        <f t="shared" si="7"/>
        <v>-1.1609999999999997E-2</v>
      </c>
      <c r="G172" s="80"/>
      <c r="H172" s="89">
        <f t="shared" si="8"/>
        <v>-6.0799999999999969E-3</v>
      </c>
      <c r="I172" s="89"/>
      <c r="J172" s="89">
        <f t="shared" si="9"/>
        <v>-5.5000000000000014E-4</v>
      </c>
      <c r="K172" s="89"/>
      <c r="L172" s="7"/>
    </row>
    <row r="173" spans="2:12" x14ac:dyDescent="0.3">
      <c r="B173" s="4">
        <v>45967</v>
      </c>
      <c r="C173" s="5">
        <v>-2.2700000000000001E-2</v>
      </c>
      <c r="D173" s="5">
        <v>-2.5000000000000001E-2</v>
      </c>
      <c r="E173" s="8"/>
      <c r="F173" s="80">
        <f t="shared" si="7"/>
        <v>-2.4309999999999998E-2</v>
      </c>
      <c r="G173" s="80"/>
      <c r="H173" s="89">
        <f t="shared" si="8"/>
        <v>-2.4080000000000001E-2</v>
      </c>
      <c r="I173" s="89"/>
      <c r="J173" s="89">
        <f t="shared" si="9"/>
        <v>-2.3850000000000003E-2</v>
      </c>
      <c r="K173" s="89"/>
      <c r="L173" s="7"/>
    </row>
    <row r="174" spans="2:12" x14ac:dyDescent="0.3">
      <c r="B174" s="4">
        <v>45968</v>
      </c>
      <c r="C174" s="5">
        <v>-6.3E-3</v>
      </c>
      <c r="D174" s="5">
        <v>1.5E-3</v>
      </c>
      <c r="E174" s="8"/>
      <c r="F174" s="80">
        <f t="shared" si="7"/>
        <v>-8.4000000000000003E-4</v>
      </c>
      <c r="G174" s="80"/>
      <c r="H174" s="89">
        <f t="shared" si="8"/>
        <v>-1.6200000000000001E-3</v>
      </c>
      <c r="I174" s="89"/>
      <c r="J174" s="89">
        <f t="shared" si="9"/>
        <v>-2.4000000000000002E-3</v>
      </c>
      <c r="K174" s="89"/>
      <c r="L174" s="7"/>
    </row>
    <row r="175" spans="2:12" x14ac:dyDescent="0.3">
      <c r="B175" s="4">
        <v>45971</v>
      </c>
      <c r="C175" s="5">
        <v>-3.5999999999999997E-2</v>
      </c>
      <c r="D175" s="5">
        <v>-1.52E-2</v>
      </c>
      <c r="E175" s="8"/>
      <c r="F175" s="80">
        <f t="shared" si="7"/>
        <v>-2.1440000000000001E-2</v>
      </c>
      <c r="G175" s="80"/>
      <c r="H175" s="89">
        <f t="shared" si="8"/>
        <v>-2.3519999999999999E-2</v>
      </c>
      <c r="I175" s="89"/>
      <c r="J175" s="89">
        <f t="shared" si="9"/>
        <v>-2.5599999999999998E-2</v>
      </c>
      <c r="K175" s="89"/>
      <c r="L175" s="7"/>
    </row>
    <row r="176" spans="2:12" x14ac:dyDescent="0.3">
      <c r="B176" s="4">
        <v>45972</v>
      </c>
      <c r="C176" s="5">
        <v>1.89E-2</v>
      </c>
      <c r="D176" s="5">
        <v>1.44E-2</v>
      </c>
      <c r="E176" s="8"/>
      <c r="F176" s="80">
        <f t="shared" si="7"/>
        <v>1.575E-2</v>
      </c>
      <c r="G176" s="80"/>
      <c r="H176" s="89">
        <f t="shared" si="8"/>
        <v>1.6199999999999999E-2</v>
      </c>
      <c r="I176" s="89"/>
      <c r="J176" s="89">
        <f t="shared" si="9"/>
        <v>1.6649999999999998E-2</v>
      </c>
      <c r="K176" s="89"/>
      <c r="L176" s="7"/>
    </row>
    <row r="177" spans="2:12" x14ac:dyDescent="0.3">
      <c r="B177" s="4">
        <v>45973</v>
      </c>
      <c r="C177" s="5">
        <v>3.8E-3</v>
      </c>
      <c r="D177" s="5">
        <v>9.7999999999999997E-3</v>
      </c>
      <c r="E177" s="8"/>
      <c r="F177" s="80">
        <f t="shared" si="7"/>
        <v>7.9999999999999984E-3</v>
      </c>
      <c r="G177" s="80"/>
      <c r="H177" s="89">
        <f t="shared" si="8"/>
        <v>7.4000000000000003E-3</v>
      </c>
      <c r="I177" s="89"/>
      <c r="J177" s="89">
        <f t="shared" si="9"/>
        <v>6.7999999999999996E-3</v>
      </c>
      <c r="K177" s="89"/>
      <c r="L177" s="7"/>
    </row>
    <row r="178" spans="2:12" x14ac:dyDescent="0.3">
      <c r="B178" s="4">
        <v>45974</v>
      </c>
      <c r="C178" s="5">
        <v>-3.2000000000000001E-2</v>
      </c>
      <c r="D178" s="5">
        <v>-3.5799999999999998E-2</v>
      </c>
      <c r="E178" s="8"/>
      <c r="F178" s="80">
        <f t="shared" si="7"/>
        <v>-3.4659999999999996E-2</v>
      </c>
      <c r="G178" s="80"/>
      <c r="H178" s="89">
        <f t="shared" si="8"/>
        <v>-3.4279999999999998E-2</v>
      </c>
      <c r="I178" s="89"/>
      <c r="J178" s="89">
        <f t="shared" si="9"/>
        <v>-3.39E-2</v>
      </c>
      <c r="K178" s="89"/>
      <c r="L178" s="7"/>
    </row>
    <row r="179" spans="2:12" x14ac:dyDescent="0.3">
      <c r="B179" s="4">
        <v>45975</v>
      </c>
      <c r="C179" s="5">
        <v>2.6100000000000002E-2</v>
      </c>
      <c r="D179" s="5">
        <v>2.0199999999999999E-2</v>
      </c>
      <c r="E179" s="8"/>
      <c r="F179" s="80">
        <f t="shared" si="7"/>
        <v>2.1969999999999996E-2</v>
      </c>
      <c r="G179" s="80"/>
      <c r="H179" s="89">
        <f t="shared" si="8"/>
        <v>2.256E-2</v>
      </c>
      <c r="I179" s="89"/>
      <c r="J179" s="89">
        <f t="shared" si="9"/>
        <v>2.315E-2</v>
      </c>
      <c r="K179" s="89"/>
      <c r="L179" s="7"/>
    </row>
    <row r="180" spans="2:12" x14ac:dyDescent="0.3">
      <c r="B180" s="4">
        <v>45978</v>
      </c>
      <c r="C180" s="5">
        <v>4.3E-3</v>
      </c>
      <c r="D180" s="5">
        <v>1.9099999999999999E-2</v>
      </c>
      <c r="E180" s="8"/>
      <c r="F180" s="80">
        <f t="shared" si="7"/>
        <v>1.4659999999999998E-2</v>
      </c>
      <c r="G180" s="80"/>
      <c r="H180" s="89">
        <f t="shared" si="8"/>
        <v>1.3180000000000001E-2</v>
      </c>
      <c r="I180" s="89"/>
      <c r="J180" s="89">
        <f t="shared" si="9"/>
        <v>1.1699999999999999E-2</v>
      </c>
      <c r="K180" s="89"/>
      <c r="L180" s="7"/>
    </row>
    <row r="181" spans="2:12" x14ac:dyDescent="0.3">
      <c r="B181" s="4">
        <v>45979</v>
      </c>
      <c r="C181" s="5">
        <v>-3.7000000000000002E-3</v>
      </c>
      <c r="D181" s="5">
        <v>-1.0999999999999999E-2</v>
      </c>
      <c r="E181" s="8"/>
      <c r="F181" s="80">
        <f t="shared" si="7"/>
        <v>-8.8100000000000001E-3</v>
      </c>
      <c r="G181" s="80"/>
      <c r="H181" s="89">
        <f t="shared" si="8"/>
        <v>-8.0799999999999986E-3</v>
      </c>
      <c r="I181" s="89"/>
      <c r="J181" s="89">
        <f t="shared" si="9"/>
        <v>-7.3499999999999998E-3</v>
      </c>
      <c r="K181" s="89"/>
      <c r="L181" s="7"/>
    </row>
    <row r="182" spans="2:12" x14ac:dyDescent="0.3">
      <c r="B182" s="4">
        <v>45980</v>
      </c>
      <c r="C182" s="5">
        <v>9.2999999999999992E-3</v>
      </c>
      <c r="D182" s="5">
        <v>1.5E-3</v>
      </c>
      <c r="E182" s="8"/>
      <c r="F182" s="80">
        <f t="shared" si="7"/>
        <v>3.8399999999999997E-3</v>
      </c>
      <c r="G182" s="80"/>
      <c r="H182" s="89">
        <f t="shared" si="8"/>
        <v>4.62E-3</v>
      </c>
      <c r="I182" s="89"/>
      <c r="J182" s="89">
        <f t="shared" si="9"/>
        <v>5.3999999999999994E-3</v>
      </c>
      <c r="K182" s="89"/>
      <c r="L182" s="7"/>
    </row>
    <row r="183" spans="2:12" x14ac:dyDescent="0.3">
      <c r="B183" s="4">
        <v>45981</v>
      </c>
      <c r="C183" s="5">
        <v>-3.8E-3</v>
      </c>
      <c r="D183" s="5">
        <v>1E-3</v>
      </c>
      <c r="E183" s="8"/>
      <c r="F183" s="80">
        <f t="shared" si="7"/>
        <v>-4.3999999999999996E-4</v>
      </c>
      <c r="G183" s="80"/>
      <c r="H183" s="89">
        <f t="shared" si="8"/>
        <v>-9.2000000000000014E-4</v>
      </c>
      <c r="I183" s="89"/>
      <c r="J183" s="89">
        <f t="shared" si="9"/>
        <v>-1.4E-3</v>
      </c>
      <c r="K183" s="89"/>
      <c r="L183" s="7"/>
    </row>
    <row r="184" spans="2:12" x14ac:dyDescent="0.3">
      <c r="B184" s="4">
        <v>45982</v>
      </c>
      <c r="C184" s="5">
        <v>-2.5399999999999999E-2</v>
      </c>
      <c r="D184" s="5">
        <v>-1.61E-2</v>
      </c>
      <c r="E184" s="8"/>
      <c r="F184" s="80">
        <f t="shared" si="7"/>
        <v>-1.8889999999999997E-2</v>
      </c>
      <c r="G184" s="80"/>
      <c r="H184" s="89">
        <f t="shared" si="8"/>
        <v>-1.9820000000000001E-2</v>
      </c>
      <c r="I184" s="89"/>
      <c r="J184" s="89">
        <f t="shared" si="9"/>
        <v>-2.0749999999999998E-2</v>
      </c>
      <c r="K184" s="89"/>
      <c r="L184" s="7"/>
    </row>
    <row r="185" spans="2:12" x14ac:dyDescent="0.3">
      <c r="B185" s="4">
        <v>45985</v>
      </c>
      <c r="C185" s="5">
        <v>4.9700000000000001E-2</v>
      </c>
      <c r="D185" s="5">
        <v>-3.0999999999999999E-3</v>
      </c>
      <c r="E185" s="8"/>
      <c r="F185" s="80">
        <f t="shared" si="7"/>
        <v>1.274E-2</v>
      </c>
      <c r="G185" s="80"/>
      <c r="H185" s="89">
        <f t="shared" si="8"/>
        <v>1.8020000000000001E-2</v>
      </c>
      <c r="I185" s="89"/>
      <c r="J185" s="89">
        <f t="shared" si="9"/>
        <v>2.3300000000000001E-2</v>
      </c>
      <c r="K185" s="89"/>
      <c r="L185" s="7"/>
    </row>
    <row r="186" spans="2:12" x14ac:dyDescent="0.3">
      <c r="B186" s="4">
        <v>45986</v>
      </c>
      <c r="C186" s="5">
        <v>-2.47E-2</v>
      </c>
      <c r="D186" s="5">
        <v>4.3E-3</v>
      </c>
      <c r="E186" s="8"/>
      <c r="F186" s="80">
        <f t="shared" si="7"/>
        <v>-4.4000000000000003E-3</v>
      </c>
      <c r="G186" s="80"/>
      <c r="H186" s="89">
        <f t="shared" si="8"/>
        <v>-7.3000000000000001E-3</v>
      </c>
      <c r="I186" s="89"/>
      <c r="J186" s="89">
        <f t="shared" si="9"/>
        <v>-1.0200000000000001E-2</v>
      </c>
      <c r="K186" s="89"/>
      <c r="L186" s="7"/>
    </row>
    <row r="187" spans="2:12" x14ac:dyDescent="0.3">
      <c r="B187" s="4">
        <v>45987</v>
      </c>
      <c r="C187" s="5">
        <v>-5.5999999999999999E-3</v>
      </c>
      <c r="D187" s="5">
        <v>1.5100000000000001E-2</v>
      </c>
      <c r="E187" s="8"/>
      <c r="F187" s="80">
        <f t="shared" si="7"/>
        <v>8.8900000000000003E-3</v>
      </c>
      <c r="G187" s="80"/>
      <c r="H187" s="89">
        <f t="shared" si="8"/>
        <v>6.8199999999999997E-3</v>
      </c>
      <c r="I187" s="89"/>
      <c r="J187" s="89">
        <f t="shared" si="9"/>
        <v>4.7500000000000007E-3</v>
      </c>
      <c r="K187" s="89"/>
      <c r="L187" s="7"/>
    </row>
    <row r="188" spans="2:12" x14ac:dyDescent="0.3">
      <c r="B188" s="4">
        <v>45988</v>
      </c>
      <c r="C188" s="5">
        <v>-1.47E-2</v>
      </c>
      <c r="D188" s="5">
        <v>-1.34E-2</v>
      </c>
      <c r="E188" s="8"/>
      <c r="F188" s="80">
        <f t="shared" si="7"/>
        <v>-1.379E-2</v>
      </c>
      <c r="G188" s="80"/>
      <c r="H188" s="89">
        <f t="shared" si="8"/>
        <v>-1.392E-2</v>
      </c>
      <c r="I188" s="89"/>
      <c r="J188" s="89">
        <f t="shared" si="9"/>
        <v>-1.405E-2</v>
      </c>
      <c r="K188" s="89"/>
      <c r="L188" s="7"/>
    </row>
    <row r="189" spans="2:12" x14ac:dyDescent="0.3">
      <c r="B189" s="4">
        <v>45989</v>
      </c>
      <c r="C189" s="5">
        <v>-2.1600000000000001E-2</v>
      </c>
      <c r="D189" s="5">
        <v>-8.8000000000000005E-3</v>
      </c>
      <c r="E189" s="8"/>
      <c r="F189" s="80">
        <f t="shared" si="7"/>
        <v>-1.264E-2</v>
      </c>
      <c r="G189" s="80"/>
      <c r="H189" s="89">
        <f t="shared" si="8"/>
        <v>-1.392E-2</v>
      </c>
      <c r="I189" s="89"/>
      <c r="J189" s="89">
        <f t="shared" si="9"/>
        <v>-1.5200000000000002E-2</v>
      </c>
      <c r="K189" s="89"/>
      <c r="L189" s="7"/>
    </row>
    <row r="190" spans="2:12" x14ac:dyDescent="0.3">
      <c r="B190" s="4">
        <v>45992</v>
      </c>
      <c r="C190" s="5">
        <v>2.7400000000000001E-2</v>
      </c>
      <c r="D190" s="5">
        <v>4.7000000000000002E-3</v>
      </c>
      <c r="E190" s="8"/>
      <c r="F190" s="80">
        <f t="shared" si="7"/>
        <v>1.1509999999999999E-2</v>
      </c>
      <c r="G190" s="80"/>
      <c r="H190" s="89">
        <f t="shared" si="8"/>
        <v>1.3780000000000001E-2</v>
      </c>
      <c r="I190" s="89"/>
      <c r="J190" s="89">
        <f t="shared" si="9"/>
        <v>1.6050000000000002E-2</v>
      </c>
      <c r="K190" s="89"/>
      <c r="L190" s="7"/>
    </row>
    <row r="191" spans="2:12" x14ac:dyDescent="0.3">
      <c r="B191" s="4">
        <v>45993</v>
      </c>
      <c r="C191" s="5">
        <v>2.7699999999999999E-2</v>
      </c>
      <c r="D191" s="5">
        <v>-3.2000000000000002E-3</v>
      </c>
      <c r="E191" s="8"/>
      <c r="F191" s="80">
        <f t="shared" si="7"/>
        <v>6.0699999999999999E-3</v>
      </c>
      <c r="G191" s="80"/>
      <c r="H191" s="89">
        <f t="shared" si="8"/>
        <v>9.1599999999999997E-3</v>
      </c>
      <c r="I191" s="89"/>
      <c r="J191" s="89">
        <f t="shared" si="9"/>
        <v>1.2249999999999999E-2</v>
      </c>
      <c r="K191" s="89"/>
      <c r="L191" s="7"/>
    </row>
    <row r="192" spans="2:12" x14ac:dyDescent="0.3">
      <c r="B192" s="4">
        <v>45994</v>
      </c>
      <c r="C192" s="5">
        <v>9.5999999999999992E-3</v>
      </c>
      <c r="D192" s="5">
        <v>-9.2999999999999992E-3</v>
      </c>
      <c r="E192" s="8"/>
      <c r="F192" s="80">
        <f t="shared" si="7"/>
        <v>-3.6299999999999995E-3</v>
      </c>
      <c r="G192" s="80"/>
      <c r="H192" s="89">
        <f t="shared" si="8"/>
        <v>-1.7399999999999994E-3</v>
      </c>
      <c r="I192" s="89"/>
      <c r="J192" s="89">
        <f t="shared" si="9"/>
        <v>1.4999999999999996E-4</v>
      </c>
      <c r="K192" s="89"/>
      <c r="L192" s="7"/>
    </row>
    <row r="193" spans="2:12" x14ac:dyDescent="0.3">
      <c r="B193" s="4">
        <v>45995</v>
      </c>
      <c r="C193" s="5">
        <v>-4.1999999999999997E-3</v>
      </c>
      <c r="D193" s="5">
        <v>-6.7000000000000002E-3</v>
      </c>
      <c r="E193" s="8"/>
      <c r="F193" s="80">
        <f t="shared" si="7"/>
        <v>-5.9499999999999996E-3</v>
      </c>
      <c r="G193" s="80"/>
      <c r="H193" s="89">
        <f t="shared" si="8"/>
        <v>-5.7000000000000002E-3</v>
      </c>
      <c r="I193" s="89"/>
      <c r="J193" s="89">
        <f t="shared" si="9"/>
        <v>-5.45E-3</v>
      </c>
      <c r="K193" s="89"/>
      <c r="L193" s="7"/>
    </row>
    <row r="194" spans="2:12" x14ac:dyDescent="0.3">
      <c r="B194" s="4">
        <v>45996</v>
      </c>
      <c r="C194" s="5">
        <v>-1.78E-2</v>
      </c>
      <c r="D194" s="5">
        <v>-1.1299999999999999E-2</v>
      </c>
      <c r="E194" s="8"/>
      <c r="F194" s="80">
        <f t="shared" si="7"/>
        <v>-1.3249999999999998E-2</v>
      </c>
      <c r="G194" s="80"/>
      <c r="H194" s="89">
        <f t="shared" si="8"/>
        <v>-1.3899999999999999E-2</v>
      </c>
      <c r="I194" s="89"/>
      <c r="J194" s="89">
        <f t="shared" si="9"/>
        <v>-1.455E-2</v>
      </c>
      <c r="K194" s="89"/>
      <c r="L194" s="7"/>
    </row>
    <row r="195" spans="2:12" x14ac:dyDescent="0.3">
      <c r="B195" s="4">
        <v>45999</v>
      </c>
      <c r="C195" s="5">
        <v>-2.1600000000000001E-2</v>
      </c>
      <c r="D195" s="5">
        <v>-2.4500000000000001E-2</v>
      </c>
      <c r="E195" s="8"/>
      <c r="F195" s="80">
        <f t="shared" si="7"/>
        <v>-2.3629999999999998E-2</v>
      </c>
      <c r="G195" s="80"/>
      <c r="H195" s="89">
        <f t="shared" si="8"/>
        <v>-2.334E-2</v>
      </c>
      <c r="I195" s="89"/>
      <c r="J195" s="89">
        <f t="shared" si="9"/>
        <v>-2.3050000000000001E-2</v>
      </c>
      <c r="K195" s="89"/>
      <c r="L195" s="7"/>
    </row>
    <row r="196" spans="2:12" x14ac:dyDescent="0.3">
      <c r="B196" s="4">
        <v>46000</v>
      </c>
      <c r="C196" s="5">
        <v>3.15E-2</v>
      </c>
      <c r="D196" s="5">
        <v>2.2599999999999999E-2</v>
      </c>
      <c r="E196" s="8"/>
      <c r="F196" s="80">
        <f t="shared" si="7"/>
        <v>2.5269999999999997E-2</v>
      </c>
      <c r="G196" s="80"/>
      <c r="H196" s="89">
        <f t="shared" si="8"/>
        <v>2.6159999999999999E-2</v>
      </c>
      <c r="I196" s="89"/>
      <c r="J196" s="89">
        <f t="shared" si="9"/>
        <v>2.7049999999999998E-2</v>
      </c>
      <c r="K196" s="89"/>
      <c r="L196" s="7"/>
    </row>
    <row r="197" spans="2:12" x14ac:dyDescent="0.3">
      <c r="B197" s="4">
        <v>46001</v>
      </c>
      <c r="C197" s="5">
        <v>-6.4000000000000003E-3</v>
      </c>
      <c r="D197" s="5">
        <v>-2.9000000000000001E-2</v>
      </c>
      <c r="E197" s="8"/>
      <c r="F197" s="80">
        <f t="shared" ref="F197:F252" si="10">C197*0.3+D197*0.7</f>
        <v>-2.222E-2</v>
      </c>
      <c r="G197" s="80"/>
      <c r="H197" s="89">
        <f t="shared" ref="H197:H252" si="11">0.4*C197+D197*0.6</f>
        <v>-1.9959999999999999E-2</v>
      </c>
      <c r="I197" s="89"/>
      <c r="J197" s="89">
        <f t="shared" ref="J197:J252" si="12">0.5*C197+0.5*D197</f>
        <v>-1.77E-2</v>
      </c>
      <c r="K197" s="89"/>
      <c r="L197" s="7"/>
    </row>
    <row r="198" spans="2:12" x14ac:dyDescent="0.3">
      <c r="B198" s="4">
        <v>46002</v>
      </c>
      <c r="C198" s="5">
        <v>1.44E-2</v>
      </c>
      <c r="D198" s="5">
        <v>2.7199999999999998E-2</v>
      </c>
      <c r="E198" s="8"/>
      <c r="F198" s="80">
        <f t="shared" si="10"/>
        <v>2.3359999999999999E-2</v>
      </c>
      <c r="G198" s="80"/>
      <c r="H198" s="89">
        <f t="shared" si="11"/>
        <v>2.2079999999999999E-2</v>
      </c>
      <c r="I198" s="89"/>
      <c r="J198" s="89">
        <f t="shared" si="12"/>
        <v>2.0799999999999999E-2</v>
      </c>
      <c r="K198" s="89"/>
      <c r="L198" s="7"/>
    </row>
    <row r="199" spans="2:12" x14ac:dyDescent="0.3">
      <c r="B199" s="4">
        <v>46003</v>
      </c>
      <c r="C199" s="5">
        <v>3.8100000000000002E-2</v>
      </c>
      <c r="D199" s="5">
        <v>2.4400000000000002E-2</v>
      </c>
      <c r="E199" s="8"/>
      <c r="F199" s="80">
        <f t="shared" si="10"/>
        <v>2.8510000000000001E-2</v>
      </c>
      <c r="G199" s="80"/>
      <c r="H199" s="89">
        <f t="shared" si="11"/>
        <v>2.9880000000000004E-2</v>
      </c>
      <c r="I199" s="89"/>
      <c r="J199" s="89">
        <f t="shared" si="12"/>
        <v>3.125E-2</v>
      </c>
      <c r="K199" s="89"/>
      <c r="L199" s="7"/>
    </row>
    <row r="200" spans="2:12" x14ac:dyDescent="0.3">
      <c r="B200" s="4">
        <v>46006</v>
      </c>
      <c r="C200" s="5">
        <v>-7.4000000000000003E-3</v>
      </c>
      <c r="D200" s="5">
        <v>1.2999999999999999E-3</v>
      </c>
      <c r="E200" s="8"/>
      <c r="F200" s="80">
        <f t="shared" si="10"/>
        <v>-1.3100000000000004E-3</v>
      </c>
      <c r="G200" s="80"/>
      <c r="H200" s="89">
        <f t="shared" si="11"/>
        <v>-2.1800000000000005E-3</v>
      </c>
      <c r="I200" s="89"/>
      <c r="J200" s="89">
        <f t="shared" si="12"/>
        <v>-3.0500000000000002E-3</v>
      </c>
      <c r="K200" s="89"/>
      <c r="L200" s="7"/>
    </row>
    <row r="201" spans="2:12" x14ac:dyDescent="0.3">
      <c r="B201" s="4">
        <v>46007</v>
      </c>
      <c r="C201" s="5">
        <v>-4.1500000000000002E-2</v>
      </c>
      <c r="D201" s="5">
        <v>-4.6899999999999997E-2</v>
      </c>
      <c r="E201" s="8"/>
      <c r="F201" s="80">
        <f t="shared" si="10"/>
        <v>-4.5280000000000001E-2</v>
      </c>
      <c r="G201" s="80"/>
      <c r="H201" s="89">
        <f t="shared" si="11"/>
        <v>-4.4740000000000002E-2</v>
      </c>
      <c r="I201" s="89"/>
      <c r="J201" s="89">
        <f t="shared" si="12"/>
        <v>-4.4200000000000003E-2</v>
      </c>
      <c r="K201" s="89"/>
      <c r="L201" s="7"/>
    </row>
    <row r="202" spans="2:12" x14ac:dyDescent="0.3">
      <c r="B202" s="4">
        <v>46008</v>
      </c>
      <c r="C202" s="5">
        <v>6.7999999999999996E-3</v>
      </c>
      <c r="D202" s="5">
        <v>0</v>
      </c>
      <c r="E202" s="8"/>
      <c r="F202" s="80">
        <f t="shared" si="10"/>
        <v>2.0399999999999997E-3</v>
      </c>
      <c r="G202" s="80"/>
      <c r="H202" s="89">
        <f t="shared" si="11"/>
        <v>2.7200000000000002E-3</v>
      </c>
      <c r="I202" s="89"/>
      <c r="J202" s="89">
        <f t="shared" si="12"/>
        <v>3.3999999999999998E-3</v>
      </c>
      <c r="K202" s="89"/>
      <c r="L202" s="7"/>
    </row>
    <row r="203" spans="2:12" x14ac:dyDescent="0.3">
      <c r="B203" s="4">
        <v>46009</v>
      </c>
      <c r="C203" s="5">
        <v>2.9499999999999998E-2</v>
      </c>
      <c r="D203" s="5">
        <v>1.1000000000000001E-3</v>
      </c>
      <c r="E203" s="8"/>
      <c r="F203" s="80">
        <f t="shared" si="10"/>
        <v>9.6199999999999983E-3</v>
      </c>
      <c r="G203" s="80"/>
      <c r="H203" s="89">
        <f t="shared" si="11"/>
        <v>1.2459999999999999E-2</v>
      </c>
      <c r="I203" s="89"/>
      <c r="J203" s="89">
        <f t="shared" si="12"/>
        <v>1.5299999999999999E-2</v>
      </c>
      <c r="K203" s="89"/>
      <c r="L203" s="7"/>
    </row>
    <row r="204" spans="2:12" x14ac:dyDescent="0.3">
      <c r="B204" s="4">
        <v>46010</v>
      </c>
      <c r="C204" s="5">
        <v>3.7000000000000002E-3</v>
      </c>
      <c r="D204" s="5">
        <v>4.5999999999999999E-3</v>
      </c>
      <c r="E204" s="8"/>
      <c r="F204" s="80">
        <f t="shared" si="10"/>
        <v>4.3299999999999996E-3</v>
      </c>
      <c r="G204" s="80"/>
      <c r="H204" s="89">
        <f t="shared" si="11"/>
        <v>4.2399999999999998E-3</v>
      </c>
      <c r="I204" s="89"/>
      <c r="J204" s="89">
        <f t="shared" si="12"/>
        <v>4.15E-3</v>
      </c>
      <c r="K204" s="89"/>
      <c r="L204" s="7"/>
    </row>
    <row r="205" spans="2:12" x14ac:dyDescent="0.3">
      <c r="B205" s="4">
        <v>46013</v>
      </c>
      <c r="C205" s="5">
        <v>-1.41E-2</v>
      </c>
      <c r="D205" s="5">
        <v>2.3E-3</v>
      </c>
      <c r="E205" s="8"/>
      <c r="F205" s="80">
        <f t="shared" si="10"/>
        <v>-2.6199999999999995E-3</v>
      </c>
      <c r="G205" s="80"/>
      <c r="H205" s="89">
        <f t="shared" si="11"/>
        <v>-4.2599999999999999E-3</v>
      </c>
      <c r="I205" s="89"/>
      <c r="J205" s="89">
        <f t="shared" si="12"/>
        <v>-5.8999999999999999E-3</v>
      </c>
      <c r="K205" s="89"/>
      <c r="L205" s="7"/>
    </row>
    <row r="206" spans="2:12" x14ac:dyDescent="0.3">
      <c r="B206" s="4">
        <v>46014</v>
      </c>
      <c r="C206" s="5">
        <v>-3.3E-3</v>
      </c>
      <c r="D206" s="5">
        <v>-8.2000000000000007E-3</v>
      </c>
      <c r="E206" s="8"/>
      <c r="F206" s="80">
        <f t="shared" si="10"/>
        <v>-6.7299999999999999E-3</v>
      </c>
      <c r="G206" s="80"/>
      <c r="H206" s="89">
        <f t="shared" si="11"/>
        <v>-6.2399999999999999E-3</v>
      </c>
      <c r="I206" s="89"/>
      <c r="J206" s="89">
        <f t="shared" si="12"/>
        <v>-5.7499999999999999E-3</v>
      </c>
      <c r="K206" s="89"/>
      <c r="L206" s="7"/>
    </row>
    <row r="207" spans="2:12" x14ac:dyDescent="0.3">
      <c r="B207" s="4">
        <v>46015</v>
      </c>
      <c r="C207" s="5">
        <v>-1.23E-2</v>
      </c>
      <c r="D207" s="5">
        <v>1.8E-3</v>
      </c>
      <c r="E207" s="8"/>
      <c r="F207" s="80">
        <f t="shared" si="10"/>
        <v>-2.4299999999999999E-3</v>
      </c>
      <c r="G207" s="80"/>
      <c r="H207" s="89">
        <f t="shared" si="11"/>
        <v>-3.8400000000000005E-3</v>
      </c>
      <c r="I207" s="89"/>
      <c r="J207" s="89">
        <f t="shared" si="12"/>
        <v>-5.2500000000000003E-3</v>
      </c>
      <c r="K207" s="89"/>
      <c r="L207" s="7"/>
    </row>
    <row r="208" spans="2:12" x14ac:dyDescent="0.3">
      <c r="B208" s="4">
        <v>46017</v>
      </c>
      <c r="C208" s="5">
        <v>-2.0400000000000001E-2</v>
      </c>
      <c r="D208" s="5">
        <v>-1.09E-2</v>
      </c>
      <c r="E208" s="8"/>
      <c r="F208" s="80">
        <f t="shared" si="10"/>
        <v>-1.375E-2</v>
      </c>
      <c r="G208" s="80"/>
      <c r="H208" s="89">
        <f t="shared" si="11"/>
        <v>-1.4700000000000001E-2</v>
      </c>
      <c r="I208" s="89"/>
      <c r="J208" s="89">
        <f t="shared" si="12"/>
        <v>-1.5650000000000001E-2</v>
      </c>
      <c r="K208" s="89"/>
      <c r="L208" s="7"/>
    </row>
    <row r="209" spans="2:12" x14ac:dyDescent="0.3">
      <c r="B209" s="4">
        <v>46020</v>
      </c>
      <c r="C209" s="5">
        <v>7.4999999999999997E-3</v>
      </c>
      <c r="D209" s="5">
        <v>3.8999999999999998E-3</v>
      </c>
      <c r="E209" s="8"/>
      <c r="F209" s="80">
        <f t="shared" si="10"/>
        <v>4.9800000000000001E-3</v>
      </c>
      <c r="G209" s="80"/>
      <c r="H209" s="89">
        <f t="shared" si="11"/>
        <v>5.3399999999999993E-3</v>
      </c>
      <c r="I209" s="89"/>
      <c r="J209" s="89">
        <f t="shared" si="12"/>
        <v>5.7000000000000002E-3</v>
      </c>
      <c r="K209" s="89"/>
      <c r="L209" s="7"/>
    </row>
    <row r="210" spans="2:12" x14ac:dyDescent="0.3">
      <c r="B210" s="4">
        <v>46021</v>
      </c>
      <c r="C210" s="5">
        <v>-2E-3</v>
      </c>
      <c r="D210" s="5">
        <v>-2.0299999999999999E-2</v>
      </c>
      <c r="E210" s="8"/>
      <c r="F210" s="80">
        <f t="shared" si="10"/>
        <v>-1.4809999999999999E-2</v>
      </c>
      <c r="G210" s="80"/>
      <c r="H210" s="89">
        <f t="shared" si="11"/>
        <v>-1.2979999999999998E-2</v>
      </c>
      <c r="I210" s="89"/>
      <c r="J210" s="89">
        <f t="shared" si="12"/>
        <v>-1.115E-2</v>
      </c>
      <c r="K210" s="89"/>
      <c r="L210" s="7"/>
    </row>
    <row r="211" spans="2:12" x14ac:dyDescent="0.3">
      <c r="B211" s="4">
        <v>46022</v>
      </c>
      <c r="C211" s="5">
        <v>-1.9800000000000002E-2</v>
      </c>
      <c r="D211" s="5">
        <v>3.3999999999999998E-3</v>
      </c>
      <c r="E211" s="8"/>
      <c r="F211" s="80">
        <f t="shared" si="10"/>
        <v>-3.5600000000000002E-3</v>
      </c>
      <c r="G211" s="80"/>
      <c r="H211" s="89">
        <f t="shared" si="11"/>
        <v>-5.8800000000000015E-3</v>
      </c>
      <c r="I211" s="89"/>
      <c r="J211" s="89">
        <f t="shared" si="12"/>
        <v>-8.2000000000000007E-3</v>
      </c>
      <c r="K211" s="89"/>
      <c r="L211" s="7"/>
    </row>
    <row r="212" spans="2:12" x14ac:dyDescent="0.3">
      <c r="B212" s="4">
        <v>46023</v>
      </c>
      <c r="C212" s="5">
        <v>1.15E-2</v>
      </c>
      <c r="D212" s="5">
        <v>2.07E-2</v>
      </c>
      <c r="E212" s="8"/>
      <c r="F212" s="80">
        <f t="shared" si="10"/>
        <v>1.7939999999999998E-2</v>
      </c>
      <c r="G212" s="80"/>
      <c r="H212" s="89">
        <f t="shared" si="11"/>
        <v>1.702E-2</v>
      </c>
      <c r="I212" s="89"/>
      <c r="J212" s="89">
        <f t="shared" si="12"/>
        <v>1.61E-2</v>
      </c>
      <c r="K212" s="89"/>
      <c r="L212" s="7"/>
    </row>
    <row r="213" spans="2:12" x14ac:dyDescent="0.3">
      <c r="B213" s="4">
        <v>46024</v>
      </c>
      <c r="C213" s="5">
        <v>-8.9999999999999993E-3</v>
      </c>
      <c r="D213" s="5">
        <v>1.1999999999999999E-3</v>
      </c>
      <c r="E213" s="8"/>
      <c r="F213" s="80">
        <f t="shared" si="10"/>
        <v>-1.8599999999999997E-3</v>
      </c>
      <c r="G213" s="80"/>
      <c r="H213" s="89">
        <f t="shared" si="11"/>
        <v>-2.8799999999999997E-3</v>
      </c>
      <c r="I213" s="89"/>
      <c r="J213" s="89">
        <f t="shared" si="12"/>
        <v>-3.8999999999999998E-3</v>
      </c>
      <c r="K213" s="89"/>
      <c r="L213" s="7"/>
    </row>
    <row r="214" spans="2:12" x14ac:dyDescent="0.3">
      <c r="B214" s="4">
        <v>46027</v>
      </c>
      <c r="C214" s="5">
        <v>-2.2700000000000001E-2</v>
      </c>
      <c r="D214" s="5">
        <v>-8.3000000000000001E-3</v>
      </c>
      <c r="E214" s="8"/>
      <c r="F214" s="80">
        <f t="shared" si="10"/>
        <v>-1.2619999999999999E-2</v>
      </c>
      <c r="G214" s="80"/>
      <c r="H214" s="89">
        <f t="shared" si="11"/>
        <v>-1.4060000000000001E-2</v>
      </c>
      <c r="I214" s="89"/>
      <c r="J214" s="89">
        <f t="shared" si="12"/>
        <v>-1.55E-2</v>
      </c>
      <c r="K214" s="89"/>
      <c r="L214" s="7"/>
    </row>
    <row r="215" spans="2:12" x14ac:dyDescent="0.3">
      <c r="B215" s="4">
        <v>46028</v>
      </c>
      <c r="C215" s="5">
        <v>-4.5999999999999999E-2</v>
      </c>
      <c r="D215" s="5">
        <v>-9.7999999999999997E-3</v>
      </c>
      <c r="E215" s="8"/>
      <c r="F215" s="80">
        <f t="shared" si="10"/>
        <v>-2.0659999999999998E-2</v>
      </c>
      <c r="G215" s="80"/>
      <c r="H215" s="89">
        <f t="shared" si="11"/>
        <v>-2.4279999999999999E-2</v>
      </c>
      <c r="I215" s="89"/>
      <c r="J215" s="89">
        <f t="shared" si="12"/>
        <v>-2.7900000000000001E-2</v>
      </c>
      <c r="K215" s="89"/>
      <c r="L215" s="7"/>
    </row>
    <row r="216" spans="2:12" x14ac:dyDescent="0.3">
      <c r="B216" s="4">
        <v>46029</v>
      </c>
      <c r="C216" s="5">
        <v>2.5000000000000001E-3</v>
      </c>
      <c r="D216" s="5">
        <v>6.7999999999999996E-3</v>
      </c>
      <c r="E216" s="8"/>
      <c r="F216" s="80">
        <f t="shared" si="10"/>
        <v>5.5099999999999993E-3</v>
      </c>
      <c r="G216" s="80"/>
      <c r="H216" s="89">
        <f t="shared" si="11"/>
        <v>5.0799999999999994E-3</v>
      </c>
      <c r="I216" s="89"/>
      <c r="J216" s="89">
        <f t="shared" si="12"/>
        <v>4.6499999999999996E-3</v>
      </c>
      <c r="K216" s="89"/>
      <c r="L216" s="7"/>
    </row>
    <row r="217" spans="2:12" x14ac:dyDescent="0.3">
      <c r="B217" s="4">
        <v>46030</v>
      </c>
      <c r="C217" s="5">
        <v>-2.5000000000000001E-2</v>
      </c>
      <c r="D217" s="5">
        <v>9.2999999999999992E-3</v>
      </c>
      <c r="E217" s="8"/>
      <c r="F217" s="80">
        <f t="shared" si="10"/>
        <v>-9.9000000000000043E-4</v>
      </c>
      <c r="G217" s="80"/>
      <c r="H217" s="89">
        <f t="shared" si="11"/>
        <v>-4.4200000000000029E-3</v>
      </c>
      <c r="I217" s="89"/>
      <c r="J217" s="89">
        <f t="shared" si="12"/>
        <v>-7.8500000000000011E-3</v>
      </c>
      <c r="K217" s="89"/>
      <c r="L217" s="7"/>
    </row>
    <row r="218" spans="2:12" x14ac:dyDescent="0.3">
      <c r="B218" s="4">
        <v>46031</v>
      </c>
      <c r="C218" s="5">
        <v>-3.3999999999999998E-3</v>
      </c>
      <c r="D218" s="5">
        <v>2.8E-3</v>
      </c>
      <c r="E218" s="8"/>
      <c r="F218" s="80">
        <f t="shared" si="10"/>
        <v>9.4000000000000008E-4</v>
      </c>
      <c r="G218" s="80"/>
      <c r="H218" s="89">
        <f t="shared" si="11"/>
        <v>3.1999999999999976E-4</v>
      </c>
      <c r="I218" s="89"/>
      <c r="J218" s="89">
        <f t="shared" si="12"/>
        <v>-2.9999999999999992E-4</v>
      </c>
      <c r="K218" s="89"/>
      <c r="L218" s="7"/>
    </row>
    <row r="219" spans="2:12" x14ac:dyDescent="0.3">
      <c r="B219" s="4">
        <v>46034</v>
      </c>
      <c r="C219" s="5">
        <v>-5.7999999999999996E-3</v>
      </c>
      <c r="D219" s="5">
        <v>3.2000000000000002E-3</v>
      </c>
      <c r="E219" s="8"/>
      <c r="F219" s="80">
        <f t="shared" si="10"/>
        <v>5.0000000000000001E-4</v>
      </c>
      <c r="G219" s="80"/>
      <c r="H219" s="89">
        <f t="shared" si="11"/>
        <v>-3.9999999999999996E-4</v>
      </c>
      <c r="I219" s="89"/>
      <c r="J219" s="89">
        <f t="shared" si="12"/>
        <v>-1.2999999999999997E-3</v>
      </c>
      <c r="K219" s="89"/>
      <c r="L219" s="7"/>
    </row>
    <row r="220" spans="2:12" x14ac:dyDescent="0.3">
      <c r="B220" s="4">
        <v>46035</v>
      </c>
      <c r="C220" s="5">
        <v>2.0999999999999999E-3</v>
      </c>
      <c r="D220" s="5">
        <v>3.2599999999999997E-2</v>
      </c>
      <c r="E220" s="8"/>
      <c r="F220" s="80">
        <f t="shared" si="10"/>
        <v>2.3449999999999995E-2</v>
      </c>
      <c r="G220" s="80"/>
      <c r="H220" s="89">
        <f t="shared" si="11"/>
        <v>2.0399999999999998E-2</v>
      </c>
      <c r="I220" s="89"/>
      <c r="J220" s="89">
        <f t="shared" si="12"/>
        <v>1.7349999999999997E-2</v>
      </c>
      <c r="K220" s="89"/>
      <c r="L220" s="7"/>
    </row>
    <row r="221" spans="2:12" x14ac:dyDescent="0.3">
      <c r="B221" s="4">
        <v>46036</v>
      </c>
      <c r="C221" s="5">
        <v>-9.4000000000000004E-3</v>
      </c>
      <c r="D221" s="5">
        <v>1.6E-2</v>
      </c>
      <c r="E221" s="8"/>
      <c r="F221" s="80">
        <f t="shared" si="10"/>
        <v>8.3800000000000003E-3</v>
      </c>
      <c r="G221" s="80"/>
      <c r="H221" s="89">
        <f t="shared" si="11"/>
        <v>5.8399999999999988E-3</v>
      </c>
      <c r="I221" s="89"/>
      <c r="J221" s="89">
        <f t="shared" si="12"/>
        <v>3.3E-3</v>
      </c>
      <c r="K221" s="89"/>
      <c r="L221" s="7"/>
    </row>
    <row r="222" spans="2:12" x14ac:dyDescent="0.3">
      <c r="B222" s="4">
        <v>46038</v>
      </c>
      <c r="C222" s="5">
        <v>-1.9599999999999999E-2</v>
      </c>
      <c r="D222" s="5">
        <v>-3.8600000000000002E-2</v>
      </c>
      <c r="E222" s="8"/>
      <c r="F222" s="80">
        <f t="shared" si="10"/>
        <v>-3.2899999999999999E-2</v>
      </c>
      <c r="G222" s="80"/>
      <c r="H222" s="89">
        <f t="shared" si="11"/>
        <v>-3.1E-2</v>
      </c>
      <c r="I222" s="89"/>
      <c r="J222" s="89">
        <f t="shared" si="12"/>
        <v>-2.9100000000000001E-2</v>
      </c>
      <c r="K222" s="89"/>
      <c r="L222" s="7"/>
    </row>
    <row r="223" spans="2:12" x14ac:dyDescent="0.3">
      <c r="B223" s="4">
        <v>46041</v>
      </c>
      <c r="C223" s="5">
        <v>-1.9E-2</v>
      </c>
      <c r="D223" s="5">
        <v>-2.2100000000000002E-2</v>
      </c>
      <c r="E223" s="8"/>
      <c r="F223" s="80">
        <f t="shared" si="10"/>
        <v>-2.1169999999999998E-2</v>
      </c>
      <c r="G223" s="80"/>
      <c r="H223" s="89">
        <f t="shared" si="11"/>
        <v>-2.086E-2</v>
      </c>
      <c r="I223" s="89"/>
      <c r="J223" s="89">
        <f t="shared" si="12"/>
        <v>-2.0549999999999999E-2</v>
      </c>
      <c r="K223" s="89"/>
      <c r="L223" s="7"/>
    </row>
    <row r="224" spans="2:12" x14ac:dyDescent="0.3">
      <c r="B224" s="4">
        <v>46042</v>
      </c>
      <c r="C224" s="5">
        <v>-2.3099999999999999E-2</v>
      </c>
      <c r="D224" s="5">
        <v>-4.1799999999999997E-2</v>
      </c>
      <c r="E224" s="8"/>
      <c r="F224" s="80">
        <f t="shared" si="10"/>
        <v>-3.6189999999999993E-2</v>
      </c>
      <c r="G224" s="80"/>
      <c r="H224" s="89">
        <f t="shared" si="11"/>
        <v>-3.4319999999999996E-2</v>
      </c>
      <c r="I224" s="89"/>
      <c r="J224" s="89">
        <f t="shared" si="12"/>
        <v>-3.245E-2</v>
      </c>
      <c r="K224" s="89"/>
      <c r="L224" s="7"/>
    </row>
    <row r="225" spans="2:12" x14ac:dyDescent="0.3">
      <c r="B225" s="4">
        <v>46043</v>
      </c>
      <c r="C225" s="5">
        <v>2.5899999999999999E-2</v>
      </c>
      <c r="D225" s="5">
        <v>5.16E-2</v>
      </c>
      <c r="E225" s="8"/>
      <c r="F225" s="80">
        <f t="shared" si="10"/>
        <v>4.3889999999999998E-2</v>
      </c>
      <c r="G225" s="80"/>
      <c r="H225" s="89">
        <f t="shared" si="11"/>
        <v>4.1319999999999996E-2</v>
      </c>
      <c r="I225" s="89"/>
      <c r="J225" s="89">
        <f t="shared" si="12"/>
        <v>3.875E-2</v>
      </c>
      <c r="K225" s="89"/>
      <c r="L225" s="7"/>
    </row>
    <row r="226" spans="2:12" x14ac:dyDescent="0.3">
      <c r="B226" s="4">
        <v>46044</v>
      </c>
      <c r="C226" s="5">
        <v>-4.2599999999999999E-2</v>
      </c>
      <c r="D226" s="5">
        <v>-2.6800000000000001E-2</v>
      </c>
      <c r="E226" s="8"/>
      <c r="F226" s="80">
        <f t="shared" si="10"/>
        <v>-3.1539999999999999E-2</v>
      </c>
      <c r="G226" s="80"/>
      <c r="H226" s="89">
        <f t="shared" si="11"/>
        <v>-3.3119999999999997E-2</v>
      </c>
      <c r="I226" s="89"/>
      <c r="J226" s="89">
        <f t="shared" si="12"/>
        <v>-3.4700000000000002E-2</v>
      </c>
      <c r="K226" s="89"/>
      <c r="L226" s="7"/>
    </row>
    <row r="227" spans="2:12" x14ac:dyDescent="0.3">
      <c r="B227" s="4">
        <v>46045</v>
      </c>
      <c r="C227" s="5">
        <v>-2.6700000000000002E-2</v>
      </c>
      <c r="D227" s="5">
        <v>-6.2300000000000001E-2</v>
      </c>
      <c r="E227" s="8"/>
      <c r="F227" s="80">
        <f t="shared" si="10"/>
        <v>-5.1619999999999999E-2</v>
      </c>
      <c r="G227" s="80"/>
      <c r="H227" s="89">
        <f t="shared" si="11"/>
        <v>-4.8059999999999999E-2</v>
      </c>
      <c r="I227" s="89"/>
      <c r="J227" s="89">
        <f t="shared" si="12"/>
        <v>-4.4499999999999998E-2</v>
      </c>
      <c r="K227" s="89"/>
      <c r="L227" s="7"/>
    </row>
    <row r="228" spans="2:12" x14ac:dyDescent="0.3">
      <c r="B228" s="4">
        <v>46049</v>
      </c>
      <c r="C228" s="5">
        <v>1.6000000000000001E-3</v>
      </c>
      <c r="D228" s="5">
        <v>-1.8700000000000001E-2</v>
      </c>
      <c r="E228" s="8"/>
      <c r="F228" s="80">
        <f t="shared" si="10"/>
        <v>-1.2610000000000001E-2</v>
      </c>
      <c r="G228" s="80"/>
      <c r="H228" s="89">
        <f t="shared" si="11"/>
        <v>-1.0580000000000001E-2</v>
      </c>
      <c r="I228" s="89"/>
      <c r="J228" s="89">
        <f t="shared" si="12"/>
        <v>-8.5500000000000003E-3</v>
      </c>
      <c r="K228" s="89"/>
      <c r="L228" s="7"/>
    </row>
    <row r="229" spans="2:12" x14ac:dyDescent="0.3">
      <c r="B229" s="4">
        <v>46050</v>
      </c>
      <c r="C229" s="5">
        <v>3.5999999999999997E-2</v>
      </c>
      <c r="D229" s="5">
        <v>4.9000000000000002E-2</v>
      </c>
      <c r="E229" s="8"/>
      <c r="F229" s="80">
        <f t="shared" si="10"/>
        <v>4.5099999999999994E-2</v>
      </c>
      <c r="G229" s="80"/>
      <c r="H229" s="89">
        <f t="shared" si="11"/>
        <v>4.3799999999999999E-2</v>
      </c>
      <c r="I229" s="89"/>
      <c r="J229" s="89">
        <f t="shared" si="12"/>
        <v>4.2499999999999996E-2</v>
      </c>
      <c r="K229" s="89"/>
      <c r="L229" s="7"/>
    </row>
    <row r="230" spans="2:12" x14ac:dyDescent="0.3">
      <c r="B230" s="4">
        <v>46051</v>
      </c>
      <c r="C230" s="5">
        <v>1.2800000000000001E-2</v>
      </c>
      <c r="D230" s="5">
        <v>3.4000000000000002E-2</v>
      </c>
      <c r="E230" s="8"/>
      <c r="F230" s="80">
        <f t="shared" si="10"/>
        <v>2.7640000000000001E-2</v>
      </c>
      <c r="G230" s="80"/>
      <c r="H230" s="89">
        <f t="shared" si="11"/>
        <v>2.5520000000000001E-2</v>
      </c>
      <c r="I230" s="89"/>
      <c r="J230" s="89">
        <f t="shared" si="12"/>
        <v>2.3400000000000001E-2</v>
      </c>
      <c r="K230" s="89"/>
      <c r="L230" s="7"/>
    </row>
    <row r="231" spans="2:12" x14ac:dyDescent="0.3">
      <c r="B231" s="4">
        <v>46052</v>
      </c>
      <c r="C231" s="5">
        <v>-5.4600000000000003E-2</v>
      </c>
      <c r="D231" s="5">
        <v>-6.4000000000000003E-3</v>
      </c>
      <c r="E231" s="8"/>
      <c r="F231" s="80">
        <f t="shared" si="10"/>
        <v>-2.0859999999999997E-2</v>
      </c>
      <c r="G231" s="80"/>
      <c r="H231" s="89">
        <f t="shared" si="11"/>
        <v>-2.5680000000000001E-2</v>
      </c>
      <c r="I231" s="89"/>
      <c r="J231" s="89">
        <f t="shared" si="12"/>
        <v>-3.0500000000000003E-2</v>
      </c>
      <c r="K231" s="89"/>
      <c r="L231" s="7"/>
    </row>
    <row r="232" spans="2:12" x14ac:dyDescent="0.3">
      <c r="B232" s="4">
        <v>46054</v>
      </c>
      <c r="C232" s="5">
        <v>1.49E-2</v>
      </c>
      <c r="D232" s="5">
        <v>-1.4800000000000001E-2</v>
      </c>
      <c r="E232" s="8"/>
      <c r="F232" s="80">
        <f t="shared" si="10"/>
        <v>-5.8899999999999994E-3</v>
      </c>
      <c r="G232" s="80"/>
      <c r="H232" s="89">
        <f t="shared" si="11"/>
        <v>-2.9200000000000007E-3</v>
      </c>
      <c r="I232" s="89"/>
      <c r="J232" s="89">
        <f t="shared" si="12"/>
        <v>4.9999999999999697E-5</v>
      </c>
      <c r="K232" s="89"/>
      <c r="L232" s="7"/>
    </row>
    <row r="233" spans="2:12" x14ac:dyDescent="0.3">
      <c r="B233" s="4">
        <v>46055</v>
      </c>
      <c r="C233" s="5">
        <v>-2.53E-2</v>
      </c>
      <c r="D233" s="5">
        <v>1.15E-2</v>
      </c>
      <c r="E233" s="8"/>
      <c r="F233" s="80">
        <f t="shared" si="10"/>
        <v>4.6000000000000034E-4</v>
      </c>
      <c r="G233" s="80"/>
      <c r="H233" s="89">
        <f t="shared" si="11"/>
        <v>-3.2200000000000006E-3</v>
      </c>
      <c r="I233" s="89"/>
      <c r="J233" s="89">
        <f t="shared" si="12"/>
        <v>-6.8999999999999999E-3</v>
      </c>
      <c r="K233" s="89"/>
      <c r="L233" s="7"/>
    </row>
    <row r="234" spans="2:12" x14ac:dyDescent="0.3">
      <c r="B234" s="4">
        <v>46056</v>
      </c>
      <c r="C234" s="5">
        <v>3.6999999999999998E-2</v>
      </c>
      <c r="D234" s="5">
        <v>2.6200000000000001E-2</v>
      </c>
      <c r="E234" s="8"/>
      <c r="F234" s="80">
        <f t="shared" si="10"/>
        <v>2.9439999999999997E-2</v>
      </c>
      <c r="G234" s="80"/>
      <c r="H234" s="89">
        <f t="shared" si="11"/>
        <v>3.0520000000000002E-2</v>
      </c>
      <c r="I234" s="89"/>
      <c r="J234" s="89">
        <f t="shared" si="12"/>
        <v>3.1600000000000003E-2</v>
      </c>
      <c r="K234" s="89"/>
      <c r="L234" s="7"/>
    </row>
    <row r="235" spans="2:12" x14ac:dyDescent="0.3">
      <c r="B235" s="4">
        <v>46057</v>
      </c>
      <c r="C235" s="5">
        <v>1.0500000000000001E-2</v>
      </c>
      <c r="D235" s="5">
        <v>5.1299999999999998E-2</v>
      </c>
      <c r="E235" s="8"/>
      <c r="F235" s="80">
        <f t="shared" si="10"/>
        <v>3.9059999999999997E-2</v>
      </c>
      <c r="G235" s="80"/>
      <c r="H235" s="89">
        <f t="shared" si="11"/>
        <v>3.4979999999999997E-2</v>
      </c>
      <c r="I235" s="89"/>
      <c r="J235" s="89">
        <f t="shared" si="12"/>
        <v>3.09E-2</v>
      </c>
      <c r="K235" s="89"/>
      <c r="L235" s="7"/>
    </row>
    <row r="236" spans="2:12" x14ac:dyDescent="0.3">
      <c r="B236" s="4">
        <v>46058</v>
      </c>
      <c r="C236" s="5">
        <v>1.1000000000000001E-3</v>
      </c>
      <c r="D236" s="5">
        <v>-2.4799999999999999E-2</v>
      </c>
      <c r="E236" s="8"/>
      <c r="F236" s="80">
        <f t="shared" si="10"/>
        <v>-1.7029999999999997E-2</v>
      </c>
      <c r="G236" s="80"/>
      <c r="H236" s="89">
        <f t="shared" si="11"/>
        <v>-1.444E-2</v>
      </c>
      <c r="I236" s="89"/>
      <c r="J236" s="89">
        <f t="shared" si="12"/>
        <v>-1.1849999999999999E-2</v>
      </c>
      <c r="K236" s="89"/>
      <c r="L236" s="7"/>
    </row>
    <row r="237" spans="2:12" x14ac:dyDescent="0.3">
      <c r="B237" s="4">
        <v>46059</v>
      </c>
      <c r="C237" s="5">
        <v>-4.4999999999999997E-3</v>
      </c>
      <c r="D237" s="5">
        <v>-1.15E-2</v>
      </c>
      <c r="E237" s="8"/>
      <c r="F237" s="80">
        <f t="shared" si="10"/>
        <v>-9.4000000000000004E-3</v>
      </c>
      <c r="G237" s="80"/>
      <c r="H237" s="89">
        <f t="shared" si="11"/>
        <v>-8.6999999999999994E-3</v>
      </c>
      <c r="I237" s="89"/>
      <c r="J237" s="89">
        <f t="shared" si="12"/>
        <v>-8.0000000000000002E-3</v>
      </c>
      <c r="K237" s="89"/>
      <c r="L237" s="7"/>
    </row>
    <row r="238" spans="2:12" x14ac:dyDescent="0.3">
      <c r="B238" s="4">
        <v>46062</v>
      </c>
      <c r="C238" s="5">
        <v>4.2799999999999998E-2</v>
      </c>
      <c r="D238" s="5">
        <v>1.8700000000000001E-2</v>
      </c>
      <c r="E238" s="8"/>
      <c r="F238" s="80">
        <f t="shared" si="10"/>
        <v>2.5930000000000002E-2</v>
      </c>
      <c r="G238" s="80"/>
      <c r="H238" s="89">
        <f t="shared" si="11"/>
        <v>2.8340000000000001E-2</v>
      </c>
      <c r="I238" s="89"/>
      <c r="J238" s="89">
        <f t="shared" si="12"/>
        <v>3.075E-2</v>
      </c>
      <c r="K238" s="89"/>
      <c r="L238" s="7"/>
    </row>
    <row r="239" spans="2:12" x14ac:dyDescent="0.3">
      <c r="B239" s="4">
        <v>46063</v>
      </c>
      <c r="C239" s="5">
        <v>6.6100000000000006E-2</v>
      </c>
      <c r="D239" s="5">
        <v>5.1799999999999999E-2</v>
      </c>
      <c r="E239" s="8"/>
      <c r="F239" s="80">
        <f t="shared" si="10"/>
        <v>5.6089999999999994E-2</v>
      </c>
      <c r="G239" s="80"/>
      <c r="H239" s="89">
        <f t="shared" si="11"/>
        <v>5.7520000000000002E-2</v>
      </c>
      <c r="I239" s="89"/>
      <c r="J239" s="89">
        <f t="shared" si="12"/>
        <v>5.8950000000000002E-2</v>
      </c>
      <c r="K239" s="89"/>
      <c r="L239" s="7"/>
    </row>
    <row r="240" spans="2:12" x14ac:dyDescent="0.3">
      <c r="B240" s="4">
        <v>46064</v>
      </c>
      <c r="C240" s="5">
        <v>-3.78E-2</v>
      </c>
      <c r="D240" s="5">
        <v>-1.0200000000000001E-2</v>
      </c>
      <c r="E240" s="8"/>
      <c r="F240" s="80">
        <f t="shared" si="10"/>
        <v>-1.848E-2</v>
      </c>
      <c r="G240" s="80"/>
      <c r="H240" s="89">
        <f t="shared" si="11"/>
        <v>-2.1240000000000002E-2</v>
      </c>
      <c r="I240" s="89"/>
      <c r="J240" s="89">
        <f t="shared" si="12"/>
        <v>-2.4E-2</v>
      </c>
      <c r="K240" s="89"/>
      <c r="L240" s="7"/>
    </row>
    <row r="241" spans="2:12" x14ac:dyDescent="0.3">
      <c r="B241" s="4">
        <v>46065</v>
      </c>
      <c r="C241" s="5">
        <v>-1.4500000000000001E-2</v>
      </c>
      <c r="D241" s="5">
        <v>-8.9999999999999993E-3</v>
      </c>
      <c r="E241" s="8"/>
      <c r="F241" s="80">
        <f t="shared" si="10"/>
        <v>-1.065E-2</v>
      </c>
      <c r="G241" s="80"/>
      <c r="H241" s="89">
        <f t="shared" si="11"/>
        <v>-1.12E-2</v>
      </c>
      <c r="I241" s="89"/>
      <c r="J241" s="89">
        <f t="shared" si="12"/>
        <v>-1.175E-2</v>
      </c>
      <c r="K241" s="89"/>
      <c r="L241" s="7"/>
    </row>
    <row r="242" spans="2:12" x14ac:dyDescent="0.3">
      <c r="B242" s="4">
        <v>46066</v>
      </c>
      <c r="C242" s="5">
        <v>8.9999999999999998E-4</v>
      </c>
      <c r="D242" s="5">
        <v>-4.2999999999999997E-2</v>
      </c>
      <c r="E242" s="8"/>
      <c r="F242" s="80">
        <f t="shared" si="10"/>
        <v>-2.9829999999999995E-2</v>
      </c>
      <c r="G242" s="80"/>
      <c r="H242" s="89">
        <f t="shared" si="11"/>
        <v>-2.5439999999999997E-2</v>
      </c>
      <c r="I242" s="89"/>
      <c r="J242" s="89">
        <f t="shared" si="12"/>
        <v>-2.1049999999999999E-2</v>
      </c>
      <c r="K242" s="89"/>
      <c r="L242" s="7"/>
    </row>
    <row r="243" spans="2:12" x14ac:dyDescent="0.3">
      <c r="B243" s="4">
        <v>46069</v>
      </c>
      <c r="C243" s="5">
        <v>1.29E-2</v>
      </c>
      <c r="D243" s="5">
        <v>4.8999999999999998E-3</v>
      </c>
      <c r="E243" s="8"/>
      <c r="F243" s="80">
        <f t="shared" si="10"/>
        <v>7.2999999999999992E-3</v>
      </c>
      <c r="G243" s="80"/>
      <c r="H243" s="89">
        <f t="shared" si="11"/>
        <v>8.0999999999999996E-3</v>
      </c>
      <c r="I243" s="89"/>
      <c r="J243" s="89">
        <f t="shared" si="12"/>
        <v>8.8999999999999999E-3</v>
      </c>
      <c r="K243" s="89"/>
      <c r="L243" s="7"/>
    </row>
    <row r="244" spans="2:12" x14ac:dyDescent="0.3">
      <c r="B244" s="4">
        <v>46070</v>
      </c>
      <c r="C244" s="5">
        <v>-3.3000000000000002E-2</v>
      </c>
      <c r="D244" s="5">
        <v>-1.78E-2</v>
      </c>
      <c r="E244" s="8"/>
      <c r="F244" s="80">
        <f t="shared" si="10"/>
        <v>-2.2359999999999998E-2</v>
      </c>
      <c r="G244" s="80"/>
      <c r="H244" s="89">
        <f t="shared" si="11"/>
        <v>-2.3880000000000002E-2</v>
      </c>
      <c r="I244" s="89"/>
      <c r="J244" s="89">
        <f t="shared" si="12"/>
        <v>-2.5399999999999999E-2</v>
      </c>
      <c r="K244" s="89"/>
      <c r="L244" s="7"/>
    </row>
    <row r="245" spans="2:12" x14ac:dyDescent="0.3">
      <c r="B245" s="4">
        <v>46071</v>
      </c>
      <c r="C245" s="5">
        <v>9.7999999999999997E-3</v>
      </c>
      <c r="D245" s="5">
        <v>-1.47E-2</v>
      </c>
      <c r="E245" s="8"/>
      <c r="F245" s="80">
        <f t="shared" si="10"/>
        <v>-7.3499999999999989E-3</v>
      </c>
      <c r="G245" s="80"/>
      <c r="H245" s="89">
        <f t="shared" si="11"/>
        <v>-4.8999999999999998E-3</v>
      </c>
      <c r="I245" s="89"/>
      <c r="J245" s="89">
        <f t="shared" si="12"/>
        <v>-2.4499999999999999E-3</v>
      </c>
      <c r="K245" s="89"/>
      <c r="L245" s="7"/>
    </row>
    <row r="246" spans="2:12" x14ac:dyDescent="0.3">
      <c r="B246" s="4">
        <v>46072</v>
      </c>
      <c r="C246" s="5">
        <v>-2.1899999999999999E-2</v>
      </c>
      <c r="D246" s="5">
        <v>-2.0199999999999999E-2</v>
      </c>
      <c r="E246" s="8"/>
      <c r="F246" s="80">
        <f t="shared" si="10"/>
        <v>-2.0709999999999999E-2</v>
      </c>
      <c r="G246" s="80"/>
      <c r="H246" s="89">
        <f t="shared" si="11"/>
        <v>-2.0879999999999999E-2</v>
      </c>
      <c r="I246" s="89"/>
      <c r="J246" s="89">
        <f t="shared" si="12"/>
        <v>-2.1049999999999999E-2</v>
      </c>
      <c r="K246" s="89"/>
      <c r="L246" s="7"/>
    </row>
    <row r="247" spans="2:12" x14ac:dyDescent="0.3">
      <c r="B247" s="4">
        <v>46073</v>
      </c>
      <c r="C247" s="5">
        <v>-8.6999999999999994E-3</v>
      </c>
      <c r="D247" s="5">
        <v>-8.5000000000000006E-3</v>
      </c>
      <c r="E247" s="8"/>
      <c r="F247" s="80">
        <f t="shared" si="10"/>
        <v>-8.5599999999999999E-3</v>
      </c>
      <c r="G247" s="80"/>
      <c r="H247" s="89">
        <f t="shared" si="11"/>
        <v>-8.5800000000000008E-3</v>
      </c>
      <c r="I247" s="89"/>
      <c r="J247" s="89">
        <f t="shared" si="12"/>
        <v>-8.6E-3</v>
      </c>
      <c r="K247" s="89"/>
      <c r="L247" s="7"/>
    </row>
    <row r="248" spans="2:12" x14ac:dyDescent="0.3">
      <c r="B248" s="4">
        <v>46076</v>
      </c>
      <c r="C248" s="5">
        <v>-8.3000000000000001E-3</v>
      </c>
      <c r="D248" s="5">
        <v>-5.4000000000000003E-3</v>
      </c>
      <c r="E248" s="8"/>
      <c r="F248" s="80">
        <f t="shared" si="10"/>
        <v>-6.2699999999999995E-3</v>
      </c>
      <c r="G248" s="80"/>
      <c r="H248" s="89">
        <f t="shared" si="11"/>
        <v>-6.5599999999999999E-3</v>
      </c>
      <c r="I248" s="89"/>
      <c r="J248" s="89">
        <f t="shared" si="12"/>
        <v>-6.8500000000000002E-3</v>
      </c>
      <c r="K248" s="89"/>
      <c r="L248" s="7"/>
    </row>
    <row r="249" spans="2:12" x14ac:dyDescent="0.3">
      <c r="B249" s="4">
        <v>46077</v>
      </c>
      <c r="C249" s="5">
        <v>-2.2100000000000002E-2</v>
      </c>
      <c r="D249" s="5">
        <v>-5.2200000000000003E-2</v>
      </c>
      <c r="E249" s="8"/>
      <c r="F249" s="80">
        <f t="shared" si="10"/>
        <v>-4.317E-2</v>
      </c>
      <c r="G249" s="80"/>
      <c r="H249" s="89">
        <f t="shared" si="11"/>
        <v>-4.0160000000000001E-2</v>
      </c>
      <c r="I249" s="89"/>
      <c r="J249" s="89">
        <f t="shared" si="12"/>
        <v>-3.7150000000000002E-2</v>
      </c>
      <c r="K249" s="89"/>
      <c r="L249" s="7"/>
    </row>
    <row r="250" spans="2:12" x14ac:dyDescent="0.3">
      <c r="B250" s="4">
        <v>46078</v>
      </c>
      <c r="C250" s="5">
        <v>-2.1000000000000001E-2</v>
      </c>
      <c r="D250" s="5">
        <v>-1.4999999999999999E-2</v>
      </c>
      <c r="E250" s="8"/>
      <c r="F250" s="80">
        <f t="shared" si="10"/>
        <v>-1.6799999999999999E-2</v>
      </c>
      <c r="G250" s="80"/>
      <c r="H250" s="89">
        <f t="shared" si="11"/>
        <v>-1.7399999999999999E-2</v>
      </c>
      <c r="I250" s="89"/>
      <c r="J250" s="89">
        <f t="shared" si="12"/>
        <v>-1.8000000000000002E-2</v>
      </c>
      <c r="K250" s="89"/>
      <c r="L250" s="7"/>
    </row>
    <row r="251" spans="2:12" x14ac:dyDescent="0.3">
      <c r="B251" s="4">
        <v>46079</v>
      </c>
      <c r="C251" s="5">
        <v>-1.1000000000000001E-3</v>
      </c>
      <c r="D251" s="5">
        <v>-1.4800000000000001E-2</v>
      </c>
      <c r="E251" s="8"/>
      <c r="F251" s="80">
        <f t="shared" si="10"/>
        <v>-1.069E-2</v>
      </c>
      <c r="G251" s="80"/>
      <c r="H251" s="89">
        <f t="shared" si="11"/>
        <v>-9.3200000000000002E-3</v>
      </c>
      <c r="I251" s="89"/>
      <c r="J251" s="89">
        <f t="shared" si="12"/>
        <v>-7.9500000000000005E-3</v>
      </c>
      <c r="K251" s="89"/>
      <c r="L251" s="7"/>
    </row>
    <row r="252" spans="2:12" x14ac:dyDescent="0.3">
      <c r="B252" s="4">
        <v>46080</v>
      </c>
      <c r="C252" s="5">
        <v>-1.7299999999999999E-2</v>
      </c>
      <c r="D252" s="5">
        <v>-8.0000000000000004E-4</v>
      </c>
      <c r="E252" s="8"/>
      <c r="F252" s="80">
        <f t="shared" si="10"/>
        <v>-5.749999999999999E-3</v>
      </c>
      <c r="G252" s="80"/>
      <c r="H252" s="89">
        <f t="shared" si="11"/>
        <v>-7.4000000000000003E-3</v>
      </c>
      <c r="I252" s="89"/>
      <c r="J252" s="89">
        <f t="shared" si="12"/>
        <v>-9.049999999999999E-3</v>
      </c>
      <c r="K252" s="89"/>
      <c r="L252" s="7"/>
    </row>
    <row r="253" spans="2:12" x14ac:dyDescent="0.3">
      <c r="B253" s="3" t="s">
        <v>48</v>
      </c>
      <c r="C253" s="31">
        <f>_xlfn.STDEV.S(C4:C252)</f>
        <v>2.4151421097228939E-2</v>
      </c>
      <c r="D253" s="31">
        <f>_xlfn.STDEV.S(D4:D252)</f>
        <v>2.2070620086883874E-2</v>
      </c>
      <c r="F253" s="13"/>
      <c r="G253" s="13"/>
      <c r="H253" s="13"/>
      <c r="I253" s="13"/>
      <c r="J253" s="13"/>
      <c r="K253" s="13"/>
    </row>
    <row r="254" spans="2:12" x14ac:dyDescent="0.3">
      <c r="B254" s="3" t="s">
        <v>47</v>
      </c>
      <c r="C254" s="2">
        <f>_xlfn.COVARIANCE.S(C4:C252,D4:D252)</f>
        <v>2.8847778938333998E-4</v>
      </c>
    </row>
  </sheetData>
  <mergeCells count="756">
    <mergeCell ref="J251:K251"/>
    <mergeCell ref="J252:K252"/>
    <mergeCell ref="F1:G1"/>
    <mergeCell ref="H1:I1"/>
    <mergeCell ref="J1:K1"/>
    <mergeCell ref="N3:O3"/>
    <mergeCell ref="N4:O4"/>
    <mergeCell ref="N5:O5"/>
    <mergeCell ref="J245:K245"/>
    <mergeCell ref="J246:K246"/>
    <mergeCell ref="J247:K247"/>
    <mergeCell ref="J248:K248"/>
    <mergeCell ref="J249:K249"/>
    <mergeCell ref="J250:K250"/>
    <mergeCell ref="J239:K239"/>
    <mergeCell ref="J240:K240"/>
    <mergeCell ref="J241:K241"/>
    <mergeCell ref="J242:K242"/>
    <mergeCell ref="J243:K243"/>
    <mergeCell ref="J244:K244"/>
    <mergeCell ref="J233:K233"/>
    <mergeCell ref="J234:K234"/>
    <mergeCell ref="J235:K235"/>
    <mergeCell ref="J236:K236"/>
    <mergeCell ref="J237:K237"/>
    <mergeCell ref="J238:K238"/>
    <mergeCell ref="J227:K227"/>
    <mergeCell ref="J228:K228"/>
    <mergeCell ref="J229:K229"/>
    <mergeCell ref="J230:K230"/>
    <mergeCell ref="J231:K231"/>
    <mergeCell ref="J232:K232"/>
    <mergeCell ref="J221:K221"/>
    <mergeCell ref="J222:K222"/>
    <mergeCell ref="J223:K223"/>
    <mergeCell ref="J224:K224"/>
    <mergeCell ref="J225:K225"/>
    <mergeCell ref="J226:K226"/>
    <mergeCell ref="J215:K215"/>
    <mergeCell ref="J216:K216"/>
    <mergeCell ref="J217:K217"/>
    <mergeCell ref="J218:K218"/>
    <mergeCell ref="J219:K219"/>
    <mergeCell ref="J220:K220"/>
    <mergeCell ref="J209:K209"/>
    <mergeCell ref="J210:K210"/>
    <mergeCell ref="J211:K211"/>
    <mergeCell ref="J212:K212"/>
    <mergeCell ref="J213:K213"/>
    <mergeCell ref="J214:K214"/>
    <mergeCell ref="J203:K203"/>
    <mergeCell ref="J204:K204"/>
    <mergeCell ref="J205:K205"/>
    <mergeCell ref="J206:K206"/>
    <mergeCell ref="J207:K207"/>
    <mergeCell ref="J208:K208"/>
    <mergeCell ref="J197:K197"/>
    <mergeCell ref="J198:K198"/>
    <mergeCell ref="J199:K199"/>
    <mergeCell ref="J200:K200"/>
    <mergeCell ref="J201:K201"/>
    <mergeCell ref="J202:K202"/>
    <mergeCell ref="J191:K191"/>
    <mergeCell ref="J192:K192"/>
    <mergeCell ref="J193:K193"/>
    <mergeCell ref="J194:K194"/>
    <mergeCell ref="J195:K195"/>
    <mergeCell ref="J196:K196"/>
    <mergeCell ref="J185:K185"/>
    <mergeCell ref="J186:K186"/>
    <mergeCell ref="J187:K187"/>
    <mergeCell ref="J188:K188"/>
    <mergeCell ref="J189:K189"/>
    <mergeCell ref="J190:K190"/>
    <mergeCell ref="J179:K179"/>
    <mergeCell ref="J180:K180"/>
    <mergeCell ref="J181:K181"/>
    <mergeCell ref="J182:K182"/>
    <mergeCell ref="J183:K183"/>
    <mergeCell ref="J184:K184"/>
    <mergeCell ref="J173:K173"/>
    <mergeCell ref="J174:K174"/>
    <mergeCell ref="J175:K175"/>
    <mergeCell ref="J176:K176"/>
    <mergeCell ref="J177:K177"/>
    <mergeCell ref="J178:K178"/>
    <mergeCell ref="J167:K167"/>
    <mergeCell ref="J168:K168"/>
    <mergeCell ref="J169:K169"/>
    <mergeCell ref="J170:K170"/>
    <mergeCell ref="J171:K171"/>
    <mergeCell ref="J172:K172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J143:K143"/>
    <mergeCell ref="J144:K144"/>
    <mergeCell ref="J145:K145"/>
    <mergeCell ref="J146:K146"/>
    <mergeCell ref="J147:K147"/>
    <mergeCell ref="J148:K148"/>
    <mergeCell ref="J137:K137"/>
    <mergeCell ref="J138:K138"/>
    <mergeCell ref="J139:K139"/>
    <mergeCell ref="J140:K140"/>
    <mergeCell ref="J141:K141"/>
    <mergeCell ref="J142:K142"/>
    <mergeCell ref="J131:K131"/>
    <mergeCell ref="J132:K132"/>
    <mergeCell ref="J133:K133"/>
    <mergeCell ref="J134:K134"/>
    <mergeCell ref="J135:K135"/>
    <mergeCell ref="J136:K136"/>
    <mergeCell ref="J125:K125"/>
    <mergeCell ref="J126:K126"/>
    <mergeCell ref="J127:K127"/>
    <mergeCell ref="J128:K128"/>
    <mergeCell ref="J129:K129"/>
    <mergeCell ref="J130:K130"/>
    <mergeCell ref="J119:K119"/>
    <mergeCell ref="J120:K120"/>
    <mergeCell ref="J121:K121"/>
    <mergeCell ref="J122:K122"/>
    <mergeCell ref="J123:K123"/>
    <mergeCell ref="J124:K124"/>
    <mergeCell ref="J113:K113"/>
    <mergeCell ref="J114:K114"/>
    <mergeCell ref="J115:K115"/>
    <mergeCell ref="J116:K116"/>
    <mergeCell ref="J117:K117"/>
    <mergeCell ref="J118:K118"/>
    <mergeCell ref="J107:K107"/>
    <mergeCell ref="J108:K108"/>
    <mergeCell ref="J109:K109"/>
    <mergeCell ref="J110:K110"/>
    <mergeCell ref="J111:K111"/>
    <mergeCell ref="J112:K112"/>
    <mergeCell ref="J101:K101"/>
    <mergeCell ref="J102:K102"/>
    <mergeCell ref="J103:K103"/>
    <mergeCell ref="J104:K104"/>
    <mergeCell ref="J105:K105"/>
    <mergeCell ref="J106:K106"/>
    <mergeCell ref="J95:K95"/>
    <mergeCell ref="J96:K96"/>
    <mergeCell ref="J97:K97"/>
    <mergeCell ref="J98:K98"/>
    <mergeCell ref="J99:K99"/>
    <mergeCell ref="J100:K100"/>
    <mergeCell ref="J89:K89"/>
    <mergeCell ref="J90:K90"/>
    <mergeCell ref="J91:K91"/>
    <mergeCell ref="J92:K92"/>
    <mergeCell ref="J93:K93"/>
    <mergeCell ref="J94:K94"/>
    <mergeCell ref="J83:K83"/>
    <mergeCell ref="J84:K84"/>
    <mergeCell ref="J85:K85"/>
    <mergeCell ref="J86:K86"/>
    <mergeCell ref="J87:K87"/>
    <mergeCell ref="J88:K88"/>
    <mergeCell ref="J77:K77"/>
    <mergeCell ref="J78:K78"/>
    <mergeCell ref="J79:K79"/>
    <mergeCell ref="J80:K80"/>
    <mergeCell ref="J81:K81"/>
    <mergeCell ref="J82:K82"/>
    <mergeCell ref="J71:K71"/>
    <mergeCell ref="J72:K72"/>
    <mergeCell ref="J73:K73"/>
    <mergeCell ref="J74:K74"/>
    <mergeCell ref="J75:K75"/>
    <mergeCell ref="J76:K76"/>
    <mergeCell ref="J65:K65"/>
    <mergeCell ref="J66:K66"/>
    <mergeCell ref="J67:K67"/>
    <mergeCell ref="J68:K68"/>
    <mergeCell ref="J69:K69"/>
    <mergeCell ref="J70:K70"/>
    <mergeCell ref="J59:K59"/>
    <mergeCell ref="J60:K60"/>
    <mergeCell ref="J61:K61"/>
    <mergeCell ref="J62:K62"/>
    <mergeCell ref="J63:K63"/>
    <mergeCell ref="J64:K64"/>
    <mergeCell ref="J53:K53"/>
    <mergeCell ref="J54:K54"/>
    <mergeCell ref="J55:K55"/>
    <mergeCell ref="J56:K56"/>
    <mergeCell ref="J57:K57"/>
    <mergeCell ref="J58:K58"/>
    <mergeCell ref="J47:K47"/>
    <mergeCell ref="J48:K48"/>
    <mergeCell ref="J49:K49"/>
    <mergeCell ref="J50:K50"/>
    <mergeCell ref="J51:K51"/>
    <mergeCell ref="J52:K52"/>
    <mergeCell ref="J41:K41"/>
    <mergeCell ref="J42:K42"/>
    <mergeCell ref="J43:K43"/>
    <mergeCell ref="J44:K44"/>
    <mergeCell ref="J45:K45"/>
    <mergeCell ref="J46:K46"/>
    <mergeCell ref="J35:K35"/>
    <mergeCell ref="J36:K36"/>
    <mergeCell ref="J37:K37"/>
    <mergeCell ref="J38:K38"/>
    <mergeCell ref="J39:K39"/>
    <mergeCell ref="J40:K40"/>
    <mergeCell ref="J29:K29"/>
    <mergeCell ref="J30:K30"/>
    <mergeCell ref="J31:K31"/>
    <mergeCell ref="J32:K32"/>
    <mergeCell ref="J33:K33"/>
    <mergeCell ref="J34:K34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3:K13"/>
    <mergeCell ref="J14:K14"/>
    <mergeCell ref="J15:K15"/>
    <mergeCell ref="J16:K16"/>
    <mergeCell ref="J5:K5"/>
    <mergeCell ref="J6:K6"/>
    <mergeCell ref="J7:K7"/>
    <mergeCell ref="J8:K8"/>
    <mergeCell ref="J9:K9"/>
    <mergeCell ref="J10:K10"/>
    <mergeCell ref="H247:I247"/>
    <mergeCell ref="H248:I248"/>
    <mergeCell ref="H249:I249"/>
    <mergeCell ref="H250:I250"/>
    <mergeCell ref="H251:I251"/>
    <mergeCell ref="H252:I252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F235:G235"/>
    <mergeCell ref="F236:G236"/>
    <mergeCell ref="F237:G237"/>
    <mergeCell ref="F238:G238"/>
    <mergeCell ref="F239:G239"/>
    <mergeCell ref="F240:G240"/>
    <mergeCell ref="F229:G229"/>
    <mergeCell ref="F230:G230"/>
    <mergeCell ref="F231:G231"/>
    <mergeCell ref="F232:G232"/>
    <mergeCell ref="F233:G233"/>
    <mergeCell ref="F234:G234"/>
    <mergeCell ref="F250:G250"/>
    <mergeCell ref="F251:G251"/>
    <mergeCell ref="F252:G252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26:G226"/>
    <mergeCell ref="F227:G227"/>
    <mergeCell ref="F228:G228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11:G211"/>
    <mergeCell ref="F212:G212"/>
    <mergeCell ref="F213:G213"/>
    <mergeCell ref="F214:G214"/>
    <mergeCell ref="F215:G215"/>
    <mergeCell ref="F216:G216"/>
    <mergeCell ref="F205:G205"/>
    <mergeCell ref="F206:G206"/>
    <mergeCell ref="F207:G207"/>
    <mergeCell ref="F208:G208"/>
    <mergeCell ref="F209:G209"/>
    <mergeCell ref="F210:G210"/>
    <mergeCell ref="F199:G199"/>
    <mergeCell ref="F200:G200"/>
    <mergeCell ref="F201:G201"/>
    <mergeCell ref="F202:G202"/>
    <mergeCell ref="F203:G203"/>
    <mergeCell ref="F204:G204"/>
    <mergeCell ref="F193:G193"/>
    <mergeCell ref="F194:G194"/>
    <mergeCell ref="F195:G195"/>
    <mergeCell ref="F196:G196"/>
    <mergeCell ref="F197:G197"/>
    <mergeCell ref="F198:G198"/>
    <mergeCell ref="F187:G187"/>
    <mergeCell ref="F188:G188"/>
    <mergeCell ref="F189:G189"/>
    <mergeCell ref="F190:G190"/>
    <mergeCell ref="F191:G191"/>
    <mergeCell ref="F192:G192"/>
    <mergeCell ref="F181:G181"/>
    <mergeCell ref="F182:G182"/>
    <mergeCell ref="F183:G183"/>
    <mergeCell ref="F184:G184"/>
    <mergeCell ref="F185:G185"/>
    <mergeCell ref="F186:G186"/>
    <mergeCell ref="F175:G175"/>
    <mergeCell ref="F176:G176"/>
    <mergeCell ref="F177:G177"/>
    <mergeCell ref="F178:G178"/>
    <mergeCell ref="F179:G179"/>
    <mergeCell ref="F180:G180"/>
    <mergeCell ref="F169:G169"/>
    <mergeCell ref="F170:G170"/>
    <mergeCell ref="F171:G171"/>
    <mergeCell ref="F172:G172"/>
    <mergeCell ref="F173:G173"/>
    <mergeCell ref="F174:G174"/>
    <mergeCell ref="F163:G163"/>
    <mergeCell ref="F164:G164"/>
    <mergeCell ref="F165:G165"/>
    <mergeCell ref="F166:G166"/>
    <mergeCell ref="F167:G167"/>
    <mergeCell ref="F168:G168"/>
    <mergeCell ref="F157:G157"/>
    <mergeCell ref="F158:G158"/>
    <mergeCell ref="F159:G159"/>
    <mergeCell ref="F160:G160"/>
    <mergeCell ref="F161:G161"/>
    <mergeCell ref="F162:G162"/>
    <mergeCell ref="F151:G151"/>
    <mergeCell ref="F152:G152"/>
    <mergeCell ref="F153:G153"/>
    <mergeCell ref="F154:G154"/>
    <mergeCell ref="F155:G155"/>
    <mergeCell ref="F156:G156"/>
    <mergeCell ref="F145:G145"/>
    <mergeCell ref="F146:G146"/>
    <mergeCell ref="F147:G147"/>
    <mergeCell ref="F148:G148"/>
    <mergeCell ref="F149:G149"/>
    <mergeCell ref="F150:G150"/>
    <mergeCell ref="F139:G139"/>
    <mergeCell ref="F140:G140"/>
    <mergeCell ref="F141:G141"/>
    <mergeCell ref="F142:G142"/>
    <mergeCell ref="F143:G143"/>
    <mergeCell ref="F144:G144"/>
    <mergeCell ref="F133:G133"/>
    <mergeCell ref="F134:G134"/>
    <mergeCell ref="F135:G135"/>
    <mergeCell ref="F136:G136"/>
    <mergeCell ref="F137:G137"/>
    <mergeCell ref="F138:G138"/>
    <mergeCell ref="F127:G127"/>
    <mergeCell ref="F128:G128"/>
    <mergeCell ref="F129:G129"/>
    <mergeCell ref="F130:G130"/>
    <mergeCell ref="F131:G131"/>
    <mergeCell ref="F132:G132"/>
    <mergeCell ref="F121:G121"/>
    <mergeCell ref="F122:G122"/>
    <mergeCell ref="F123:G123"/>
    <mergeCell ref="F124:G124"/>
    <mergeCell ref="F125:G125"/>
    <mergeCell ref="F126:G126"/>
    <mergeCell ref="F115:G115"/>
    <mergeCell ref="F116:G116"/>
    <mergeCell ref="F117:G117"/>
    <mergeCell ref="F118:G118"/>
    <mergeCell ref="F119:G119"/>
    <mergeCell ref="F120:G120"/>
    <mergeCell ref="F109:G109"/>
    <mergeCell ref="F110:G110"/>
    <mergeCell ref="F111:G111"/>
    <mergeCell ref="F112:G112"/>
    <mergeCell ref="F113:G113"/>
    <mergeCell ref="F114:G114"/>
    <mergeCell ref="F103:G103"/>
    <mergeCell ref="F104:G104"/>
    <mergeCell ref="F105:G105"/>
    <mergeCell ref="F106:G106"/>
    <mergeCell ref="F107:G107"/>
    <mergeCell ref="F108:G108"/>
    <mergeCell ref="F97:G97"/>
    <mergeCell ref="F98:G98"/>
    <mergeCell ref="F99:G99"/>
    <mergeCell ref="F100:G100"/>
    <mergeCell ref="F101:G101"/>
    <mergeCell ref="F102:G102"/>
    <mergeCell ref="F91:G91"/>
    <mergeCell ref="F92:G92"/>
    <mergeCell ref="F93:G93"/>
    <mergeCell ref="F94:G94"/>
    <mergeCell ref="F95:G95"/>
    <mergeCell ref="F96:G96"/>
    <mergeCell ref="F85:G85"/>
    <mergeCell ref="F86:G86"/>
    <mergeCell ref="F87:G87"/>
    <mergeCell ref="F88:G88"/>
    <mergeCell ref="F89:G89"/>
    <mergeCell ref="F90:G90"/>
    <mergeCell ref="F79:G79"/>
    <mergeCell ref="F80:G80"/>
    <mergeCell ref="F81:G81"/>
    <mergeCell ref="F82:G82"/>
    <mergeCell ref="F83:G83"/>
    <mergeCell ref="F84:G84"/>
    <mergeCell ref="F73:G73"/>
    <mergeCell ref="F74:G74"/>
    <mergeCell ref="F75:G75"/>
    <mergeCell ref="F76:G76"/>
    <mergeCell ref="F77:G77"/>
    <mergeCell ref="F78:G78"/>
    <mergeCell ref="F67:G67"/>
    <mergeCell ref="F68:G68"/>
    <mergeCell ref="F69:G69"/>
    <mergeCell ref="F70:G70"/>
    <mergeCell ref="F71:G71"/>
    <mergeCell ref="F72:G72"/>
    <mergeCell ref="F61:G61"/>
    <mergeCell ref="F62:G62"/>
    <mergeCell ref="F63:G63"/>
    <mergeCell ref="F64:G64"/>
    <mergeCell ref="F65:G65"/>
    <mergeCell ref="F66:G66"/>
    <mergeCell ref="F55:G55"/>
    <mergeCell ref="F56:G56"/>
    <mergeCell ref="F57:G57"/>
    <mergeCell ref="F58:G58"/>
    <mergeCell ref="F59:G59"/>
    <mergeCell ref="F60:G60"/>
    <mergeCell ref="F49:G49"/>
    <mergeCell ref="F50:G50"/>
    <mergeCell ref="F51:G51"/>
    <mergeCell ref="F52:G52"/>
    <mergeCell ref="F53:G53"/>
    <mergeCell ref="F54:G54"/>
    <mergeCell ref="F43:G43"/>
    <mergeCell ref="F44:G44"/>
    <mergeCell ref="F45:G45"/>
    <mergeCell ref="F46:G46"/>
    <mergeCell ref="F47:G47"/>
    <mergeCell ref="F48:G48"/>
    <mergeCell ref="F37:G37"/>
    <mergeCell ref="F38:G38"/>
    <mergeCell ref="F39:G39"/>
    <mergeCell ref="F40:G40"/>
    <mergeCell ref="F41:G41"/>
    <mergeCell ref="F42:G42"/>
    <mergeCell ref="F31:G31"/>
    <mergeCell ref="F32:G32"/>
    <mergeCell ref="F33:G33"/>
    <mergeCell ref="F34:G34"/>
    <mergeCell ref="F35:G35"/>
    <mergeCell ref="F36:G36"/>
    <mergeCell ref="F25:G25"/>
    <mergeCell ref="F26:G26"/>
    <mergeCell ref="F27:G27"/>
    <mergeCell ref="F28:G28"/>
    <mergeCell ref="F29:G29"/>
    <mergeCell ref="F30:G30"/>
    <mergeCell ref="F19:G19"/>
    <mergeCell ref="F20:G20"/>
    <mergeCell ref="F21:G21"/>
    <mergeCell ref="F22:G22"/>
    <mergeCell ref="F23:G23"/>
    <mergeCell ref="F24:G24"/>
    <mergeCell ref="F13:G13"/>
    <mergeCell ref="F14:G14"/>
    <mergeCell ref="F15:G15"/>
    <mergeCell ref="F16:G16"/>
    <mergeCell ref="F17:G17"/>
    <mergeCell ref="F18:G18"/>
    <mergeCell ref="F7:G7"/>
    <mergeCell ref="F8:G8"/>
    <mergeCell ref="F9:G9"/>
    <mergeCell ref="F10:G10"/>
    <mergeCell ref="F11:G11"/>
    <mergeCell ref="F12:G12"/>
    <mergeCell ref="F3:G3"/>
    <mergeCell ref="H3:I3"/>
    <mergeCell ref="J3:K3"/>
    <mergeCell ref="F4:G4"/>
    <mergeCell ref="F5:G5"/>
    <mergeCell ref="F6:G6"/>
    <mergeCell ref="H4:I4"/>
    <mergeCell ref="J4:K4"/>
    <mergeCell ref="H5:I5"/>
    <mergeCell ref="H6:I6"/>
    <mergeCell ref="H7:I7"/>
    <mergeCell ref="H8:I8"/>
    <mergeCell ref="H9:I9"/>
    <mergeCell ref="H10:I10"/>
    <mergeCell ref="H11:I11"/>
    <mergeCell ref="H12:I12"/>
    <mergeCell ref="J11:K11"/>
    <mergeCell ref="J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74D3-597E-4B15-83B1-ACAB9D841F02}">
  <dimension ref="B4:T259"/>
  <sheetViews>
    <sheetView topLeftCell="G1" zoomScale="84" workbookViewId="0">
      <selection activeCell="Q24" sqref="Q24"/>
    </sheetView>
  </sheetViews>
  <sheetFormatPr defaultColWidth="11.33203125" defaultRowHeight="14.4" x14ac:dyDescent="0.3"/>
  <cols>
    <col min="1" max="5" width="11.33203125" style="2"/>
    <col min="6" max="6" width="7.109375" style="2" bestFit="1" customWidth="1"/>
    <col min="7" max="15" width="11.33203125" style="2"/>
    <col min="16" max="16" width="27.33203125" style="2" customWidth="1"/>
    <col min="17" max="17" width="13.21875" style="2" bestFit="1" customWidth="1"/>
    <col min="18" max="18" width="13.44140625" style="2" bestFit="1" customWidth="1"/>
    <col min="19" max="19" width="21.21875" style="2" bestFit="1" customWidth="1"/>
    <col min="20" max="16384" width="11.33203125" style="2"/>
  </cols>
  <sheetData>
    <row r="4" spans="2:20" ht="18.600000000000001" thickBot="1" x14ac:dyDescent="0.4">
      <c r="B4" s="44"/>
      <c r="C4" s="44" t="s">
        <v>29</v>
      </c>
      <c r="D4" s="44" t="s">
        <v>10</v>
      </c>
      <c r="F4" s="94" t="s">
        <v>43</v>
      </c>
      <c r="G4" s="95"/>
      <c r="H4" s="95"/>
      <c r="I4" s="95"/>
      <c r="J4" s="95"/>
      <c r="K4" s="95"/>
      <c r="L4" s="95"/>
      <c r="M4" s="95"/>
      <c r="N4" s="95"/>
      <c r="O4" s="96"/>
      <c r="Q4" s="32"/>
      <c r="R4" s="32"/>
      <c r="S4" s="32"/>
    </row>
    <row r="5" spans="2:20" ht="15" thickBot="1" x14ac:dyDescent="0.35">
      <c r="B5" s="44" t="s">
        <v>26</v>
      </c>
      <c r="C5" s="44" t="s">
        <v>27</v>
      </c>
      <c r="D5" s="44" t="s">
        <v>28</v>
      </c>
      <c r="F5" s="45">
        <v>0.1</v>
      </c>
      <c r="G5" s="45">
        <v>0.2</v>
      </c>
      <c r="H5" s="45">
        <v>0.3</v>
      </c>
      <c r="I5" s="45">
        <v>0.4</v>
      </c>
      <c r="J5" s="45">
        <v>0.5</v>
      </c>
      <c r="K5" s="45">
        <v>0.6</v>
      </c>
      <c r="L5" s="45">
        <v>0.7</v>
      </c>
      <c r="M5" s="45">
        <v>0.8</v>
      </c>
      <c r="N5" s="45">
        <v>0.9</v>
      </c>
      <c r="O5" s="45">
        <v>1</v>
      </c>
      <c r="P5" s="70" t="s">
        <v>52</v>
      </c>
      <c r="Q5" s="65" t="s">
        <v>40</v>
      </c>
      <c r="R5" s="66" t="s">
        <v>44</v>
      </c>
      <c r="S5" s="67" t="s">
        <v>45</v>
      </c>
      <c r="T5" s="47"/>
    </row>
    <row r="6" spans="2:20" x14ac:dyDescent="0.3">
      <c r="B6" s="43">
        <v>45715</v>
      </c>
      <c r="C6" s="5">
        <v>-0.03</v>
      </c>
      <c r="D6" s="5">
        <v>1.5100000000000001E-2</v>
      </c>
      <c r="F6" s="5">
        <f>F$5*$C6+(1-F$5)*$D6</f>
        <v>1.0590000000000002E-2</v>
      </c>
      <c r="G6" s="5">
        <f t="shared" ref="G6:O21" si="0">G$5*$C6+(1-G$5)*$D6</f>
        <v>6.0800000000000003E-3</v>
      </c>
      <c r="H6" s="5">
        <f t="shared" si="0"/>
        <v>1.5700000000000002E-3</v>
      </c>
      <c r="I6" s="5">
        <f t="shared" si="0"/>
        <v>-2.9399999999999999E-3</v>
      </c>
      <c r="J6" s="5">
        <f t="shared" si="0"/>
        <v>-7.4499999999999992E-3</v>
      </c>
      <c r="K6" s="5">
        <f t="shared" si="0"/>
        <v>-1.1959999999999998E-2</v>
      </c>
      <c r="L6" s="5">
        <f t="shared" si="0"/>
        <v>-1.6469999999999999E-2</v>
      </c>
      <c r="M6" s="5">
        <f t="shared" si="0"/>
        <v>-2.0980000000000002E-2</v>
      </c>
      <c r="N6" s="5">
        <f t="shared" si="0"/>
        <v>-2.5489999999999999E-2</v>
      </c>
      <c r="O6" s="5">
        <f t="shared" si="0"/>
        <v>-0.03</v>
      </c>
      <c r="P6" s="69">
        <v>0.1</v>
      </c>
      <c r="Q6" s="64" cm="1">
        <f t="array" ref="Q6:S15">TRANSPOSE(F257:O259)</f>
        <v>2.1267812605554978E-2</v>
      </c>
      <c r="R6" s="64">
        <v>2.7479179022682487E-4</v>
      </c>
      <c r="S6" s="64">
        <v>7.0514102151370661E-2</v>
      </c>
    </row>
    <row r="7" spans="2:20" x14ac:dyDescent="0.3">
      <c r="B7" s="4">
        <v>45716</v>
      </c>
      <c r="C7" s="5">
        <v>-2.8500000000000001E-2</v>
      </c>
      <c r="D7" s="5">
        <v>-3.0300000000000001E-2</v>
      </c>
      <c r="F7" s="5">
        <f t="shared" ref="F7:O45" si="1">F$5*$C7+(1-F$5)*$D7</f>
        <v>-3.0120000000000001E-2</v>
      </c>
      <c r="G7" s="5">
        <f t="shared" si="0"/>
        <v>-2.9940000000000001E-2</v>
      </c>
      <c r="H7" s="5">
        <f t="shared" si="0"/>
        <v>-2.9760000000000002E-2</v>
      </c>
      <c r="I7" s="5">
        <f t="shared" si="0"/>
        <v>-2.9579999999999999E-2</v>
      </c>
      <c r="J7" s="5">
        <f t="shared" si="0"/>
        <v>-2.9400000000000003E-2</v>
      </c>
      <c r="K7" s="5">
        <f t="shared" si="0"/>
        <v>-2.9220000000000003E-2</v>
      </c>
      <c r="L7" s="5">
        <f t="shared" si="0"/>
        <v>-2.904E-2</v>
      </c>
      <c r="M7" s="5">
        <f t="shared" si="0"/>
        <v>-2.886E-2</v>
      </c>
      <c r="N7" s="5">
        <f t="shared" si="0"/>
        <v>-2.8680000000000001E-2</v>
      </c>
      <c r="O7" s="5">
        <f t="shared" si="0"/>
        <v>-2.8500000000000001E-2</v>
      </c>
      <c r="P7" s="69">
        <v>0.2</v>
      </c>
      <c r="Q7" s="34">
        <v>2.067356746417549E-2</v>
      </c>
      <c r="R7" s="34">
        <v>1.9082357234334602E-4</v>
      </c>
      <c r="S7" s="34">
        <v>4.8457179992631882E-2</v>
      </c>
    </row>
    <row r="8" spans="2:20" x14ac:dyDescent="0.3">
      <c r="B8" s="4">
        <v>45719</v>
      </c>
      <c r="C8" s="5">
        <v>-2.5000000000000001E-2</v>
      </c>
      <c r="D8" s="5">
        <v>2.0000000000000001E-4</v>
      </c>
      <c r="F8" s="5">
        <f t="shared" si="1"/>
        <v>-2.3200000000000004E-3</v>
      </c>
      <c r="G8" s="5">
        <f t="shared" si="0"/>
        <v>-4.8400000000000006E-3</v>
      </c>
      <c r="H8" s="5">
        <f t="shared" si="0"/>
        <v>-7.3599999999999994E-3</v>
      </c>
      <c r="I8" s="5">
        <f t="shared" si="0"/>
        <v>-9.8800000000000016E-3</v>
      </c>
      <c r="J8" s="5">
        <f t="shared" si="0"/>
        <v>-1.2400000000000001E-2</v>
      </c>
      <c r="K8" s="5">
        <f t="shared" si="0"/>
        <v>-1.4919999999999999E-2</v>
      </c>
      <c r="L8" s="5">
        <f t="shared" si="0"/>
        <v>-1.7439999999999997E-2</v>
      </c>
      <c r="M8" s="5">
        <f t="shared" si="0"/>
        <v>-1.9960000000000006E-2</v>
      </c>
      <c r="N8" s="5">
        <f t="shared" si="0"/>
        <v>-2.2480000000000003E-2</v>
      </c>
      <c r="O8" s="5">
        <f t="shared" si="0"/>
        <v>-2.5000000000000001E-2</v>
      </c>
      <c r="P8" s="69">
        <v>0.3</v>
      </c>
      <c r="Q8" s="34">
        <v>2.0306203166323311E-2</v>
      </c>
      <c r="R8" s="34">
        <v>1.0201791440844765E-4</v>
      </c>
      <c r="S8" s="34">
        <v>2.5621891796510976E-2</v>
      </c>
    </row>
    <row r="9" spans="2:20" x14ac:dyDescent="0.3">
      <c r="B9" s="4">
        <v>45720</v>
      </c>
      <c r="C9" s="5">
        <v>7.2800000000000004E-2</v>
      </c>
      <c r="D9" s="5">
        <v>2.46E-2</v>
      </c>
      <c r="F9" s="5">
        <f t="shared" si="1"/>
        <v>2.9420000000000002E-2</v>
      </c>
      <c r="G9" s="5">
        <f t="shared" si="0"/>
        <v>3.4240000000000007E-2</v>
      </c>
      <c r="H9" s="5">
        <f t="shared" si="0"/>
        <v>3.9059999999999997E-2</v>
      </c>
      <c r="I9" s="5">
        <f t="shared" si="0"/>
        <v>4.3880000000000002E-2</v>
      </c>
      <c r="J9" s="5">
        <f t="shared" si="0"/>
        <v>4.87E-2</v>
      </c>
      <c r="K9" s="5">
        <f t="shared" si="0"/>
        <v>5.3520000000000005E-2</v>
      </c>
      <c r="L9" s="5">
        <f t="shared" si="0"/>
        <v>5.8340000000000003E-2</v>
      </c>
      <c r="M9" s="5">
        <f t="shared" si="0"/>
        <v>6.3160000000000008E-2</v>
      </c>
      <c r="N9" s="5">
        <f t="shared" si="0"/>
        <v>6.7980000000000013E-2</v>
      </c>
      <c r="O9" s="5">
        <f t="shared" si="0"/>
        <v>7.2800000000000004E-2</v>
      </c>
      <c r="P9" s="69">
        <v>0.4</v>
      </c>
      <c r="Q9" s="34">
        <v>2.0178115348900984E-2</v>
      </c>
      <c r="R9" s="34">
        <v>8.3805031485528758E-6</v>
      </c>
      <c r="S9" s="34">
        <v>2.0805173510534125E-3</v>
      </c>
    </row>
    <row r="10" spans="2:20" x14ac:dyDescent="0.3">
      <c r="B10" s="4">
        <v>45721</v>
      </c>
      <c r="C10" s="5">
        <v>2.41E-2</v>
      </c>
      <c r="D10" s="5">
        <v>-2.5999999999999999E-3</v>
      </c>
      <c r="F10" s="5">
        <f t="shared" si="1"/>
        <v>7.0000000000000184E-5</v>
      </c>
      <c r="G10" s="5">
        <f t="shared" si="0"/>
        <v>2.7400000000000007E-3</v>
      </c>
      <c r="H10" s="5">
        <f t="shared" si="0"/>
        <v>5.4099999999999999E-3</v>
      </c>
      <c r="I10" s="5">
        <f t="shared" si="0"/>
        <v>8.0800000000000004E-3</v>
      </c>
      <c r="J10" s="5">
        <f t="shared" si="0"/>
        <v>1.0749999999999999E-2</v>
      </c>
      <c r="K10" s="5">
        <f t="shared" si="0"/>
        <v>1.342E-2</v>
      </c>
      <c r="L10" s="5">
        <f t="shared" si="0"/>
        <v>1.609E-2</v>
      </c>
      <c r="M10" s="5">
        <f t="shared" si="0"/>
        <v>1.8760000000000002E-2</v>
      </c>
      <c r="N10" s="5">
        <f t="shared" si="0"/>
        <v>2.1430000000000001E-2</v>
      </c>
      <c r="O10" s="5">
        <f t="shared" si="0"/>
        <v>2.41E-2</v>
      </c>
      <c r="P10" s="69">
        <v>0.5</v>
      </c>
      <c r="Q10" s="34">
        <v>2.0293835214184607E-2</v>
      </c>
      <c r="R10" s="34">
        <v>-9.0083487967462794E-5</v>
      </c>
      <c r="S10" s="34">
        <v>-2.2093983624617564E-2</v>
      </c>
    </row>
    <row r="11" spans="2:20" x14ac:dyDescent="0.3">
      <c r="B11" s="4">
        <v>45722</v>
      </c>
      <c r="C11" s="5">
        <v>1.1299999999999999E-2</v>
      </c>
      <c r="D11" s="5">
        <v>-7.0000000000000001E-3</v>
      </c>
      <c r="F11" s="5">
        <f t="shared" si="1"/>
        <v>-5.1700000000000001E-3</v>
      </c>
      <c r="G11" s="5">
        <f t="shared" si="0"/>
        <v>-3.340000000000001E-3</v>
      </c>
      <c r="H11" s="5">
        <f t="shared" si="0"/>
        <v>-1.5100000000000001E-3</v>
      </c>
      <c r="I11" s="5">
        <f t="shared" si="0"/>
        <v>3.1999999999999997E-4</v>
      </c>
      <c r="J11" s="5">
        <f t="shared" si="0"/>
        <v>2.1499999999999996E-3</v>
      </c>
      <c r="K11" s="5">
        <f t="shared" si="0"/>
        <v>3.9799999999999992E-3</v>
      </c>
      <c r="L11" s="5">
        <f t="shared" si="0"/>
        <v>5.8099999999999983E-3</v>
      </c>
      <c r="M11" s="5">
        <f t="shared" si="0"/>
        <v>7.6399999999999992E-3</v>
      </c>
      <c r="N11" s="5">
        <f t="shared" si="0"/>
        <v>9.470000000000001E-3</v>
      </c>
      <c r="O11" s="5">
        <f t="shared" si="0"/>
        <v>1.1299999999999999E-2</v>
      </c>
      <c r="P11" s="69">
        <v>0.6</v>
      </c>
      <c r="Q11" s="34">
        <v>2.0649264224973637E-2</v>
      </c>
      <c r="R11" s="34">
        <v>-1.933693915244783E-4</v>
      </c>
      <c r="S11" s="34">
        <v>-4.6828321545491991E-2</v>
      </c>
    </row>
    <row r="12" spans="2:20" x14ac:dyDescent="0.3">
      <c r="B12" s="4">
        <v>45723</v>
      </c>
      <c r="C12" s="5">
        <v>-4.4000000000000003E-3</v>
      </c>
      <c r="D12" s="5">
        <v>-3.8100000000000002E-2</v>
      </c>
      <c r="F12" s="5">
        <f t="shared" si="1"/>
        <v>-3.4730000000000004E-2</v>
      </c>
      <c r="G12" s="5">
        <f t="shared" si="0"/>
        <v>-3.1360000000000006E-2</v>
      </c>
      <c r="H12" s="5">
        <f t="shared" si="0"/>
        <v>-2.7990000000000001E-2</v>
      </c>
      <c r="I12" s="5">
        <f t="shared" si="0"/>
        <v>-2.4620000000000003E-2</v>
      </c>
      <c r="J12" s="5">
        <f t="shared" si="0"/>
        <v>-2.1250000000000002E-2</v>
      </c>
      <c r="K12" s="5">
        <f t="shared" si="0"/>
        <v>-1.788E-2</v>
      </c>
      <c r="L12" s="5">
        <f t="shared" si="0"/>
        <v>-1.4510000000000002E-2</v>
      </c>
      <c r="M12" s="5">
        <f t="shared" si="0"/>
        <v>-1.1139999999999999E-2</v>
      </c>
      <c r="N12" s="5">
        <f t="shared" si="0"/>
        <v>-7.7699999999999991E-3</v>
      </c>
      <c r="O12" s="5">
        <f t="shared" si="0"/>
        <v>-4.4000000000000003E-3</v>
      </c>
      <c r="P12" s="69">
        <v>0.7</v>
      </c>
      <c r="Q12" s="34">
        <v>2.1232367626584751E-2</v>
      </c>
      <c r="R12" s="34">
        <v>-3.0147303946626014E-4</v>
      </c>
      <c r="S12" s="34">
        <v>-7.2049219555264332E-2</v>
      </c>
    </row>
    <row r="13" spans="2:20" x14ac:dyDescent="0.3">
      <c r="B13" s="4">
        <v>45726</v>
      </c>
      <c r="C13" s="5">
        <v>-3.5999999999999999E-3</v>
      </c>
      <c r="D13" s="5">
        <v>-2.5600000000000001E-2</v>
      </c>
      <c r="F13" s="5">
        <f t="shared" si="1"/>
        <v>-2.3400000000000001E-2</v>
      </c>
      <c r="G13" s="5">
        <f t="shared" si="0"/>
        <v>-2.12E-2</v>
      </c>
      <c r="H13" s="5">
        <f t="shared" si="0"/>
        <v>-1.9E-2</v>
      </c>
      <c r="I13" s="5">
        <f t="shared" si="0"/>
        <v>-1.6799999999999999E-2</v>
      </c>
      <c r="J13" s="5">
        <f t="shared" si="0"/>
        <v>-1.46E-2</v>
      </c>
      <c r="K13" s="5">
        <f t="shared" si="0"/>
        <v>-1.2400000000000001E-2</v>
      </c>
      <c r="L13" s="5">
        <f t="shared" si="0"/>
        <v>-1.0200000000000001E-2</v>
      </c>
      <c r="M13" s="5">
        <f t="shared" si="0"/>
        <v>-7.9999999999999984E-3</v>
      </c>
      <c r="N13" s="5">
        <f t="shared" si="0"/>
        <v>-5.7999999999999996E-3</v>
      </c>
      <c r="O13" s="5">
        <f t="shared" si="0"/>
        <v>-3.5999999999999999E-3</v>
      </c>
      <c r="P13" s="69">
        <v>0.8</v>
      </c>
      <c r="Q13" s="34">
        <v>2.2025070117788124E-2</v>
      </c>
      <c r="R13" s="34">
        <v>-4.1439075689153615E-4</v>
      </c>
      <c r="S13" s="34">
        <v>-9.7683746592395537E-2</v>
      </c>
    </row>
    <row r="14" spans="2:20" x14ac:dyDescent="0.3">
      <c r="B14" s="4">
        <v>45727</v>
      </c>
      <c r="C14" s="5">
        <v>-1.89E-2</v>
      </c>
      <c r="D14" s="5">
        <v>-1.52E-2</v>
      </c>
      <c r="F14" s="5">
        <f t="shared" si="1"/>
        <v>-1.5570000000000001E-2</v>
      </c>
      <c r="G14" s="5">
        <f t="shared" si="0"/>
        <v>-1.5940000000000003E-2</v>
      </c>
      <c r="H14" s="5">
        <f t="shared" si="0"/>
        <v>-1.6309999999999998E-2</v>
      </c>
      <c r="I14" s="5">
        <f t="shared" si="0"/>
        <v>-1.668E-2</v>
      </c>
      <c r="J14" s="5">
        <f t="shared" si="0"/>
        <v>-1.7049999999999999E-2</v>
      </c>
      <c r="K14" s="5">
        <f t="shared" si="0"/>
        <v>-1.7419999999999998E-2</v>
      </c>
      <c r="L14" s="5">
        <f t="shared" si="0"/>
        <v>-1.779E-2</v>
      </c>
      <c r="M14" s="5">
        <f t="shared" si="0"/>
        <v>-1.8160000000000003E-2</v>
      </c>
      <c r="N14" s="5">
        <f t="shared" si="0"/>
        <v>-1.8530000000000001E-2</v>
      </c>
      <c r="O14" s="5">
        <f t="shared" si="0"/>
        <v>-1.89E-2</v>
      </c>
      <c r="P14" s="69">
        <v>0.9</v>
      </c>
      <c r="Q14" s="34">
        <v>2.3005715572915652E-2</v>
      </c>
      <c r="R14" s="34">
        <v>-5.3211935631969354E-4</v>
      </c>
      <c r="S14" s="34">
        <v>-0.12365963899938681</v>
      </c>
    </row>
    <row r="15" spans="2:20" x14ac:dyDescent="0.3">
      <c r="B15" s="4">
        <v>45728</v>
      </c>
      <c r="C15" s="5">
        <v>-1.15E-2</v>
      </c>
      <c r="D15" s="5">
        <v>-1.2500000000000001E-2</v>
      </c>
      <c r="F15" s="5">
        <f t="shared" si="1"/>
        <v>-1.2400000000000001E-2</v>
      </c>
      <c r="G15" s="5">
        <f t="shared" si="0"/>
        <v>-1.2300000000000002E-2</v>
      </c>
      <c r="H15" s="5">
        <f t="shared" si="0"/>
        <v>-1.2199999999999999E-2</v>
      </c>
      <c r="I15" s="5">
        <f t="shared" si="0"/>
        <v>-1.21E-2</v>
      </c>
      <c r="J15" s="5">
        <f t="shared" si="0"/>
        <v>-1.2E-2</v>
      </c>
      <c r="K15" s="5">
        <f t="shared" si="0"/>
        <v>-1.1900000000000001E-2</v>
      </c>
      <c r="L15" s="5">
        <f t="shared" si="0"/>
        <v>-1.1800000000000001E-2</v>
      </c>
      <c r="M15" s="5">
        <f t="shared" si="0"/>
        <v>-1.1699999999999999E-2</v>
      </c>
      <c r="N15" s="5">
        <f t="shared" si="0"/>
        <v>-1.1599999999999999E-2</v>
      </c>
      <c r="O15" s="5">
        <f t="shared" si="0"/>
        <v>-1.15E-2</v>
      </c>
      <c r="P15" s="69">
        <v>1</v>
      </c>
      <c r="Q15" s="34">
        <v>2.4151421097228939E-2</v>
      </c>
      <c r="R15" s="34">
        <v>-6.5465613241266762E-4</v>
      </c>
      <c r="S15" s="34">
        <v>-0.14990560889151039</v>
      </c>
    </row>
    <row r="16" spans="2:20" x14ac:dyDescent="0.3">
      <c r="B16" s="4">
        <v>45729</v>
      </c>
      <c r="C16" s="5">
        <v>1.26E-2</v>
      </c>
      <c r="D16" s="5">
        <v>-1.9599999999999999E-2</v>
      </c>
      <c r="F16" s="5">
        <f t="shared" si="1"/>
        <v>-1.6379999999999999E-2</v>
      </c>
      <c r="G16" s="5">
        <f t="shared" si="0"/>
        <v>-1.316E-2</v>
      </c>
      <c r="H16" s="5">
        <f t="shared" si="0"/>
        <v>-9.9399999999999974E-3</v>
      </c>
      <c r="I16" s="5">
        <f t="shared" si="0"/>
        <v>-6.7199999999999994E-3</v>
      </c>
      <c r="J16" s="5">
        <f t="shared" si="0"/>
        <v>-3.4999999999999996E-3</v>
      </c>
      <c r="K16" s="5">
        <f t="shared" si="0"/>
        <v>-2.7999999999999987E-4</v>
      </c>
      <c r="L16" s="5">
        <f t="shared" si="0"/>
        <v>2.939999999999999E-3</v>
      </c>
      <c r="M16" s="5">
        <f t="shared" si="0"/>
        <v>6.1600000000000014E-3</v>
      </c>
      <c r="N16" s="5">
        <f t="shared" si="0"/>
        <v>9.3800000000000012E-3</v>
      </c>
      <c r="O16" s="5">
        <f t="shared" si="0"/>
        <v>1.26E-2</v>
      </c>
    </row>
    <row r="17" spans="2:15" x14ac:dyDescent="0.3">
      <c r="B17" s="4">
        <v>45733</v>
      </c>
      <c r="C17" s="5">
        <v>4.1999999999999997E-3</v>
      </c>
      <c r="D17" s="5">
        <v>1.12E-2</v>
      </c>
      <c r="F17" s="5">
        <f t="shared" si="1"/>
        <v>1.0500000000000001E-2</v>
      </c>
      <c r="G17" s="5">
        <f t="shared" si="0"/>
        <v>9.8000000000000014E-3</v>
      </c>
      <c r="H17" s="5">
        <f t="shared" si="0"/>
        <v>9.1000000000000004E-3</v>
      </c>
      <c r="I17" s="5">
        <f t="shared" si="0"/>
        <v>8.3999999999999995E-3</v>
      </c>
      <c r="J17" s="5">
        <f t="shared" si="0"/>
        <v>7.7000000000000002E-3</v>
      </c>
      <c r="K17" s="5">
        <f t="shared" si="0"/>
        <v>7.0000000000000001E-3</v>
      </c>
      <c r="L17" s="5">
        <f t="shared" si="0"/>
        <v>6.3E-3</v>
      </c>
      <c r="M17" s="5">
        <f t="shared" si="0"/>
        <v>5.5999999999999991E-3</v>
      </c>
      <c r="N17" s="5">
        <f t="shared" si="0"/>
        <v>4.8999999999999998E-3</v>
      </c>
      <c r="O17" s="5">
        <f t="shared" si="0"/>
        <v>4.1999999999999997E-3</v>
      </c>
    </row>
    <row r="18" spans="2:15" x14ac:dyDescent="0.3">
      <c r="B18" s="4">
        <v>45734</v>
      </c>
      <c r="C18" s="5">
        <v>3.8E-3</v>
      </c>
      <c r="D18" s="5">
        <v>7.1199999999999999E-2</v>
      </c>
      <c r="F18" s="5">
        <f t="shared" si="1"/>
        <v>6.4460000000000003E-2</v>
      </c>
      <c r="G18" s="5">
        <f t="shared" si="0"/>
        <v>5.772E-2</v>
      </c>
      <c r="H18" s="5">
        <f t="shared" si="0"/>
        <v>5.0979999999999998E-2</v>
      </c>
      <c r="I18" s="5">
        <f t="shared" si="0"/>
        <v>4.4240000000000002E-2</v>
      </c>
      <c r="J18" s="5">
        <f t="shared" si="0"/>
        <v>3.7499999999999999E-2</v>
      </c>
      <c r="K18" s="5">
        <f t="shared" si="0"/>
        <v>3.0760000000000003E-2</v>
      </c>
      <c r="L18" s="5">
        <f t="shared" si="0"/>
        <v>2.4020000000000003E-2</v>
      </c>
      <c r="M18" s="5">
        <f t="shared" si="0"/>
        <v>1.7279999999999997E-2</v>
      </c>
      <c r="N18" s="5">
        <f t="shared" si="0"/>
        <v>1.0539999999999999E-2</v>
      </c>
      <c r="O18" s="5">
        <f t="shared" si="0"/>
        <v>3.8E-3</v>
      </c>
    </row>
    <row r="19" spans="2:15" x14ac:dyDescent="0.3">
      <c r="B19" s="4">
        <v>45735</v>
      </c>
      <c r="C19" s="5">
        <v>1.2800000000000001E-2</v>
      </c>
      <c r="D19" s="5">
        <v>2.4500000000000001E-2</v>
      </c>
      <c r="F19" s="5">
        <f t="shared" si="1"/>
        <v>2.333E-2</v>
      </c>
      <c r="G19" s="5">
        <f t="shared" si="0"/>
        <v>2.2160000000000003E-2</v>
      </c>
      <c r="H19" s="5">
        <f t="shared" si="0"/>
        <v>2.0989999999999998E-2</v>
      </c>
      <c r="I19" s="5">
        <f t="shared" si="0"/>
        <v>1.9820000000000001E-2</v>
      </c>
      <c r="J19" s="5">
        <f t="shared" si="0"/>
        <v>1.865E-2</v>
      </c>
      <c r="K19" s="5">
        <f t="shared" si="0"/>
        <v>1.7480000000000002E-2</v>
      </c>
      <c r="L19" s="5">
        <f t="shared" si="0"/>
        <v>1.6310000000000002E-2</v>
      </c>
      <c r="M19" s="5">
        <f t="shared" si="0"/>
        <v>1.5140000000000001E-2</v>
      </c>
      <c r="N19" s="5">
        <f t="shared" si="0"/>
        <v>1.397E-2</v>
      </c>
      <c r="O19" s="5">
        <f t="shared" si="0"/>
        <v>1.2800000000000001E-2</v>
      </c>
    </row>
    <row r="20" spans="2:15" x14ac:dyDescent="0.3">
      <c r="B20" s="4">
        <v>45736</v>
      </c>
      <c r="C20" s="5">
        <v>-1.7299999999999999E-2</v>
      </c>
      <c r="D20" s="5">
        <v>4.1999999999999997E-3</v>
      </c>
      <c r="F20" s="5">
        <f t="shared" si="1"/>
        <v>2.0499999999999997E-3</v>
      </c>
      <c r="G20" s="5">
        <f t="shared" si="0"/>
        <v>-9.9999999999999829E-5</v>
      </c>
      <c r="H20" s="5">
        <f t="shared" si="0"/>
        <v>-2.2499999999999998E-3</v>
      </c>
      <c r="I20" s="5">
        <f t="shared" si="0"/>
        <v>-4.4000000000000003E-3</v>
      </c>
      <c r="J20" s="5">
        <f t="shared" si="0"/>
        <v>-6.5500000000000003E-3</v>
      </c>
      <c r="K20" s="5">
        <f t="shared" si="0"/>
        <v>-8.6999999999999994E-3</v>
      </c>
      <c r="L20" s="5">
        <f t="shared" si="0"/>
        <v>-1.0849999999999999E-2</v>
      </c>
      <c r="M20" s="5">
        <f t="shared" si="0"/>
        <v>-1.2999999999999999E-2</v>
      </c>
      <c r="N20" s="5">
        <f t="shared" si="0"/>
        <v>-1.515E-2</v>
      </c>
      <c r="O20" s="5">
        <f t="shared" si="0"/>
        <v>-1.7299999999999999E-2</v>
      </c>
    </row>
    <row r="21" spans="2:15" x14ac:dyDescent="0.3">
      <c r="B21" s="4">
        <v>45737</v>
      </c>
      <c r="C21" s="5">
        <v>-1.04E-2</v>
      </c>
      <c r="D21" s="5">
        <v>1.3599999999999999E-2</v>
      </c>
      <c r="F21" s="5">
        <f t="shared" si="1"/>
        <v>1.12E-2</v>
      </c>
      <c r="G21" s="5">
        <f t="shared" si="0"/>
        <v>8.8000000000000005E-3</v>
      </c>
      <c r="H21" s="5">
        <f t="shared" si="0"/>
        <v>6.3999999999999994E-3</v>
      </c>
      <c r="I21" s="5">
        <f t="shared" si="0"/>
        <v>3.9999999999999992E-3</v>
      </c>
      <c r="J21" s="5">
        <f t="shared" si="0"/>
        <v>1.5999999999999999E-3</v>
      </c>
      <c r="K21" s="5">
        <f t="shared" si="0"/>
        <v>-7.999999999999995E-4</v>
      </c>
      <c r="L21" s="5">
        <f t="shared" si="0"/>
        <v>-3.1999999999999989E-3</v>
      </c>
      <c r="M21" s="5">
        <f t="shared" si="0"/>
        <v>-5.5999999999999999E-3</v>
      </c>
      <c r="N21" s="5">
        <f t="shared" si="0"/>
        <v>-8.0000000000000002E-3</v>
      </c>
      <c r="O21" s="5">
        <f t="shared" si="0"/>
        <v>-1.04E-2</v>
      </c>
    </row>
    <row r="22" spans="2:15" x14ac:dyDescent="0.3">
      <c r="B22" s="4">
        <v>45740</v>
      </c>
      <c r="C22" s="5">
        <v>2.3E-3</v>
      </c>
      <c r="D22" s="5">
        <v>-2.07E-2</v>
      </c>
      <c r="F22" s="5">
        <f t="shared" si="1"/>
        <v>-1.84E-2</v>
      </c>
      <c r="G22" s="5">
        <f t="shared" si="1"/>
        <v>-1.6100000000000003E-2</v>
      </c>
      <c r="H22" s="5">
        <f t="shared" si="1"/>
        <v>-1.38E-2</v>
      </c>
      <c r="I22" s="5">
        <f t="shared" si="1"/>
        <v>-1.1499999999999998E-2</v>
      </c>
      <c r="J22" s="5">
        <f t="shared" si="1"/>
        <v>-9.1999999999999998E-3</v>
      </c>
      <c r="K22" s="5">
        <f t="shared" si="1"/>
        <v>-6.9000000000000008E-3</v>
      </c>
      <c r="L22" s="5">
        <f t="shared" si="1"/>
        <v>-4.6000000000000017E-3</v>
      </c>
      <c r="M22" s="5">
        <f t="shared" si="1"/>
        <v>-2.2999999999999987E-3</v>
      </c>
      <c r="N22" s="5">
        <f t="shared" si="1"/>
        <v>0</v>
      </c>
      <c r="O22" s="5">
        <f t="shared" si="1"/>
        <v>2.3E-3</v>
      </c>
    </row>
    <row r="23" spans="2:15" x14ac:dyDescent="0.3">
      <c r="B23" s="4">
        <v>45741</v>
      </c>
      <c r="C23" s="5">
        <v>-3.9699999999999999E-2</v>
      </c>
      <c r="D23" s="5">
        <v>-5.8299999999999998E-2</v>
      </c>
      <c r="F23" s="5">
        <f t="shared" si="1"/>
        <v>-5.6439999999999997E-2</v>
      </c>
      <c r="G23" s="5">
        <f t="shared" si="1"/>
        <v>-5.4580000000000004E-2</v>
      </c>
      <c r="H23" s="5">
        <f t="shared" si="1"/>
        <v>-5.2719999999999996E-2</v>
      </c>
      <c r="I23" s="5">
        <f t="shared" si="1"/>
        <v>-5.0860000000000002E-2</v>
      </c>
      <c r="J23" s="5">
        <f t="shared" si="1"/>
        <v>-4.9000000000000002E-2</v>
      </c>
      <c r="K23" s="5">
        <f t="shared" si="1"/>
        <v>-4.7140000000000001E-2</v>
      </c>
      <c r="L23" s="5">
        <f t="shared" si="1"/>
        <v>-4.5280000000000001E-2</v>
      </c>
      <c r="M23" s="5">
        <f t="shared" si="1"/>
        <v>-4.342E-2</v>
      </c>
      <c r="N23" s="5">
        <f t="shared" si="1"/>
        <v>-4.156E-2</v>
      </c>
      <c r="O23" s="5">
        <f t="shared" si="1"/>
        <v>-3.9699999999999999E-2</v>
      </c>
    </row>
    <row r="24" spans="2:15" x14ac:dyDescent="0.3">
      <c r="B24" s="4">
        <v>45742</v>
      </c>
      <c r="C24" s="5">
        <v>-4.0399999999999998E-2</v>
      </c>
      <c r="D24" s="5">
        <v>-3.1099999999999999E-2</v>
      </c>
      <c r="F24" s="5">
        <f t="shared" si="1"/>
        <v>-3.2030000000000003E-2</v>
      </c>
      <c r="G24" s="5">
        <f t="shared" si="1"/>
        <v>-3.2960000000000003E-2</v>
      </c>
      <c r="H24" s="5">
        <f t="shared" si="1"/>
        <v>-3.3889999999999997E-2</v>
      </c>
      <c r="I24" s="5">
        <f t="shared" si="1"/>
        <v>-3.4820000000000004E-2</v>
      </c>
      <c r="J24" s="5">
        <f t="shared" si="1"/>
        <v>-3.5749999999999997E-2</v>
      </c>
      <c r="K24" s="5">
        <f t="shared" si="1"/>
        <v>-3.6679999999999997E-2</v>
      </c>
      <c r="L24" s="5">
        <f t="shared" si="1"/>
        <v>-3.7609999999999998E-2</v>
      </c>
      <c r="M24" s="5">
        <f t="shared" si="1"/>
        <v>-3.8539999999999998E-2</v>
      </c>
      <c r="N24" s="5">
        <f t="shared" si="1"/>
        <v>-3.9469999999999998E-2</v>
      </c>
      <c r="O24" s="5">
        <f t="shared" si="1"/>
        <v>-4.0399999999999998E-2</v>
      </c>
    </row>
    <row r="25" spans="2:15" x14ac:dyDescent="0.3">
      <c r="B25" s="4">
        <v>45743</v>
      </c>
      <c r="C25" s="5">
        <v>3.6700000000000003E-2</v>
      </c>
      <c r="D25" s="5">
        <v>1.47E-2</v>
      </c>
      <c r="F25" s="5">
        <f t="shared" si="1"/>
        <v>1.6900000000000002E-2</v>
      </c>
      <c r="G25" s="5">
        <f t="shared" si="1"/>
        <v>1.9099999999999999E-2</v>
      </c>
      <c r="H25" s="5">
        <f t="shared" si="1"/>
        <v>2.1299999999999999E-2</v>
      </c>
      <c r="I25" s="5">
        <f t="shared" si="1"/>
        <v>2.35E-2</v>
      </c>
      <c r="J25" s="5">
        <f t="shared" si="1"/>
        <v>2.5700000000000001E-2</v>
      </c>
      <c r="K25" s="5">
        <f t="shared" si="1"/>
        <v>2.7900000000000001E-2</v>
      </c>
      <c r="L25" s="5">
        <f t="shared" si="1"/>
        <v>3.0100000000000002E-2</v>
      </c>
      <c r="M25" s="5">
        <f t="shared" si="1"/>
        <v>3.2300000000000002E-2</v>
      </c>
      <c r="N25" s="5">
        <f t="shared" si="1"/>
        <v>3.4500000000000003E-2</v>
      </c>
      <c r="O25" s="5">
        <f t="shared" si="1"/>
        <v>3.6700000000000003E-2</v>
      </c>
    </row>
    <row r="26" spans="2:15" x14ac:dyDescent="0.3">
      <c r="B26" s="4">
        <v>45744</v>
      </c>
      <c r="C26" s="5">
        <v>-1.6500000000000001E-2</v>
      </c>
      <c r="D26" s="5">
        <v>-2.2200000000000001E-2</v>
      </c>
      <c r="F26" s="5">
        <f t="shared" si="1"/>
        <v>-2.163E-2</v>
      </c>
      <c r="G26" s="5">
        <f t="shared" si="1"/>
        <v>-2.1060000000000002E-2</v>
      </c>
      <c r="H26" s="5">
        <f t="shared" si="1"/>
        <v>-2.0490000000000001E-2</v>
      </c>
      <c r="I26" s="5">
        <f t="shared" si="1"/>
        <v>-1.992E-2</v>
      </c>
      <c r="J26" s="5">
        <f t="shared" si="1"/>
        <v>-1.9349999999999999E-2</v>
      </c>
      <c r="K26" s="5">
        <f t="shared" si="1"/>
        <v>-1.8780000000000002E-2</v>
      </c>
      <c r="L26" s="5">
        <f t="shared" si="1"/>
        <v>-1.821E-2</v>
      </c>
      <c r="M26" s="5">
        <f t="shared" si="1"/>
        <v>-1.7640000000000003E-2</v>
      </c>
      <c r="N26" s="5">
        <f t="shared" si="1"/>
        <v>-1.7070000000000002E-2</v>
      </c>
      <c r="O26" s="5">
        <f t="shared" si="1"/>
        <v>-1.6500000000000001E-2</v>
      </c>
    </row>
    <row r="27" spans="2:15" x14ac:dyDescent="0.3">
      <c r="B27" s="4">
        <v>45748</v>
      </c>
      <c r="C27" s="5">
        <v>5.1000000000000004E-3</v>
      </c>
      <c r="D27" s="5">
        <v>1.5E-3</v>
      </c>
      <c r="F27" s="5">
        <f t="shared" si="1"/>
        <v>1.8600000000000001E-3</v>
      </c>
      <c r="G27" s="5">
        <f t="shared" si="1"/>
        <v>2.2200000000000002E-3</v>
      </c>
      <c r="H27" s="5">
        <f t="shared" si="1"/>
        <v>2.5799999999999998E-3</v>
      </c>
      <c r="I27" s="5">
        <f t="shared" si="1"/>
        <v>2.9399999999999999E-3</v>
      </c>
      <c r="J27" s="5">
        <f t="shared" si="1"/>
        <v>3.3E-3</v>
      </c>
      <c r="K27" s="5">
        <f t="shared" si="1"/>
        <v>3.6600000000000001E-3</v>
      </c>
      <c r="L27" s="5">
        <f t="shared" si="1"/>
        <v>4.0200000000000001E-3</v>
      </c>
      <c r="M27" s="5">
        <f t="shared" si="1"/>
        <v>4.3800000000000002E-3</v>
      </c>
      <c r="N27" s="5">
        <f t="shared" si="1"/>
        <v>4.7400000000000003E-3</v>
      </c>
      <c r="O27" s="5">
        <f t="shared" si="1"/>
        <v>5.1000000000000004E-3</v>
      </c>
    </row>
    <row r="28" spans="2:15" x14ac:dyDescent="0.3">
      <c r="B28" s="4">
        <v>45749</v>
      </c>
      <c r="C28" s="5">
        <v>3.8300000000000001E-2</v>
      </c>
      <c r="D28" s="5">
        <v>4.9599999999999998E-2</v>
      </c>
      <c r="F28" s="5">
        <f t="shared" si="1"/>
        <v>4.8469999999999999E-2</v>
      </c>
      <c r="G28" s="5">
        <f t="shared" si="1"/>
        <v>4.734E-2</v>
      </c>
      <c r="H28" s="5">
        <f t="shared" si="1"/>
        <v>4.6209999999999994E-2</v>
      </c>
      <c r="I28" s="5">
        <f t="shared" si="1"/>
        <v>4.5079999999999995E-2</v>
      </c>
      <c r="J28" s="5">
        <f t="shared" si="1"/>
        <v>4.3950000000000003E-2</v>
      </c>
      <c r="K28" s="5">
        <f t="shared" si="1"/>
        <v>4.2819999999999997E-2</v>
      </c>
      <c r="L28" s="5">
        <f t="shared" si="1"/>
        <v>4.1690000000000005E-2</v>
      </c>
      <c r="M28" s="5">
        <f t="shared" si="1"/>
        <v>4.0559999999999999E-2</v>
      </c>
      <c r="N28" s="5">
        <f t="shared" si="1"/>
        <v>3.943E-2</v>
      </c>
      <c r="O28" s="5">
        <f t="shared" si="1"/>
        <v>3.8300000000000001E-2</v>
      </c>
    </row>
    <row r="29" spans="2:15" x14ac:dyDescent="0.3">
      <c r="B29" s="4">
        <v>45750</v>
      </c>
      <c r="C29" s="5">
        <v>1.6000000000000001E-3</v>
      </c>
      <c r="D29" s="5">
        <v>-5.3E-3</v>
      </c>
      <c r="F29" s="5">
        <f t="shared" si="1"/>
        <v>-4.6099999999999995E-3</v>
      </c>
      <c r="G29" s="5">
        <f t="shared" si="1"/>
        <v>-3.9199999999999999E-3</v>
      </c>
      <c r="H29" s="5">
        <f t="shared" si="1"/>
        <v>-3.2299999999999998E-3</v>
      </c>
      <c r="I29" s="5">
        <f t="shared" si="1"/>
        <v>-2.5400000000000002E-3</v>
      </c>
      <c r="J29" s="5">
        <f t="shared" si="1"/>
        <v>-1.8500000000000001E-3</v>
      </c>
      <c r="K29" s="5">
        <f t="shared" si="1"/>
        <v>-1.16E-3</v>
      </c>
      <c r="L29" s="5">
        <f t="shared" si="1"/>
        <v>-4.7000000000000037E-4</v>
      </c>
      <c r="M29" s="5">
        <f t="shared" si="1"/>
        <v>2.2000000000000036E-4</v>
      </c>
      <c r="N29" s="5">
        <f t="shared" si="1"/>
        <v>9.1000000000000022E-4</v>
      </c>
      <c r="O29" s="5">
        <f t="shared" si="1"/>
        <v>1.6000000000000001E-3</v>
      </c>
    </row>
    <row r="30" spans="2:15" x14ac:dyDescent="0.3">
      <c r="B30" s="4">
        <v>45751</v>
      </c>
      <c r="C30" s="5">
        <v>-2.2599999999999999E-2</v>
      </c>
      <c r="D30" s="5">
        <v>-1.8E-3</v>
      </c>
      <c r="F30" s="5">
        <f t="shared" si="1"/>
        <v>-3.8799999999999998E-3</v>
      </c>
      <c r="G30" s="5">
        <f t="shared" si="1"/>
        <v>-5.96E-3</v>
      </c>
      <c r="H30" s="5">
        <f t="shared" si="1"/>
        <v>-8.0399999999999985E-3</v>
      </c>
      <c r="I30" s="5">
        <f t="shared" si="1"/>
        <v>-1.0119999999999999E-2</v>
      </c>
      <c r="J30" s="5">
        <f t="shared" si="1"/>
        <v>-1.2199999999999999E-2</v>
      </c>
      <c r="K30" s="5">
        <f t="shared" si="1"/>
        <v>-1.4279999999999999E-2</v>
      </c>
      <c r="L30" s="5">
        <f t="shared" si="1"/>
        <v>-1.6359999999999996E-2</v>
      </c>
      <c r="M30" s="5">
        <f t="shared" si="1"/>
        <v>-1.8439999999999998E-2</v>
      </c>
      <c r="N30" s="5">
        <f t="shared" si="1"/>
        <v>-2.052E-2</v>
      </c>
      <c r="O30" s="5">
        <f t="shared" si="1"/>
        <v>-2.2599999999999999E-2</v>
      </c>
    </row>
    <row r="31" spans="2:15" x14ac:dyDescent="0.3">
      <c r="B31" s="4">
        <v>45754</v>
      </c>
      <c r="C31" s="5">
        <v>-4.6399999999999997E-2</v>
      </c>
      <c r="D31" s="5">
        <v>-4.3E-3</v>
      </c>
      <c r="F31" s="5">
        <f t="shared" si="1"/>
        <v>-8.5100000000000002E-3</v>
      </c>
      <c r="G31" s="5">
        <f t="shared" si="1"/>
        <v>-1.272E-2</v>
      </c>
      <c r="H31" s="5">
        <f t="shared" si="1"/>
        <v>-1.6929999999999997E-2</v>
      </c>
      <c r="I31" s="5">
        <f t="shared" si="1"/>
        <v>-2.1139999999999999E-2</v>
      </c>
      <c r="J31" s="5">
        <f t="shared" si="1"/>
        <v>-2.5349999999999998E-2</v>
      </c>
      <c r="K31" s="5">
        <f t="shared" si="1"/>
        <v>-2.9559999999999996E-2</v>
      </c>
      <c r="L31" s="5">
        <f t="shared" si="1"/>
        <v>-3.3769999999999994E-2</v>
      </c>
      <c r="M31" s="5">
        <f t="shared" si="1"/>
        <v>-3.798E-2</v>
      </c>
      <c r="N31" s="5">
        <f t="shared" si="1"/>
        <v>-4.2189999999999998E-2</v>
      </c>
      <c r="O31" s="5">
        <f t="shared" si="1"/>
        <v>-4.6399999999999997E-2</v>
      </c>
    </row>
    <row r="32" spans="2:15" x14ac:dyDescent="0.3">
      <c r="B32" s="4">
        <v>45755</v>
      </c>
      <c r="C32" s="5">
        <v>3.61E-2</v>
      </c>
      <c r="D32" s="5">
        <v>2.6499999999999999E-2</v>
      </c>
      <c r="F32" s="5">
        <f t="shared" si="1"/>
        <v>2.7459999999999998E-2</v>
      </c>
      <c r="G32" s="5">
        <f t="shared" si="1"/>
        <v>2.8420000000000001E-2</v>
      </c>
      <c r="H32" s="5">
        <f t="shared" si="1"/>
        <v>2.9379999999999996E-2</v>
      </c>
      <c r="I32" s="5">
        <f t="shared" si="1"/>
        <v>3.0339999999999999E-2</v>
      </c>
      <c r="J32" s="5">
        <f t="shared" si="1"/>
        <v>3.1300000000000001E-2</v>
      </c>
      <c r="K32" s="5">
        <f t="shared" si="1"/>
        <v>3.2259999999999997E-2</v>
      </c>
      <c r="L32" s="5">
        <f t="shared" si="1"/>
        <v>3.322E-2</v>
      </c>
      <c r="M32" s="5">
        <f t="shared" si="1"/>
        <v>3.4180000000000002E-2</v>
      </c>
      <c r="N32" s="5">
        <f t="shared" si="1"/>
        <v>3.5139999999999998E-2</v>
      </c>
      <c r="O32" s="5">
        <f t="shared" si="1"/>
        <v>3.61E-2</v>
      </c>
    </row>
    <row r="33" spans="2:15" x14ac:dyDescent="0.3">
      <c r="B33" s="4">
        <v>45756</v>
      </c>
      <c r="C33" s="5">
        <v>1.9400000000000001E-2</v>
      </c>
      <c r="D33" s="5">
        <v>-1.77E-2</v>
      </c>
      <c r="F33" s="5">
        <f t="shared" si="1"/>
        <v>-1.3989999999999999E-2</v>
      </c>
      <c r="G33" s="5">
        <f t="shared" si="1"/>
        <v>-1.0280000000000001E-2</v>
      </c>
      <c r="H33" s="5">
        <f t="shared" si="1"/>
        <v>-6.5700000000000003E-3</v>
      </c>
      <c r="I33" s="5">
        <f t="shared" si="1"/>
        <v>-2.8599999999999988E-3</v>
      </c>
      <c r="J33" s="5">
        <f t="shared" si="1"/>
        <v>8.5000000000000006E-4</v>
      </c>
      <c r="K33" s="5">
        <f t="shared" si="1"/>
        <v>4.559999999999999E-3</v>
      </c>
      <c r="L33" s="5">
        <f t="shared" si="1"/>
        <v>8.2699999999999996E-3</v>
      </c>
      <c r="M33" s="5">
        <f t="shared" si="1"/>
        <v>1.1980000000000001E-2</v>
      </c>
      <c r="N33" s="5">
        <f t="shared" si="1"/>
        <v>1.5689999999999999E-2</v>
      </c>
      <c r="O33" s="5">
        <f t="shared" si="1"/>
        <v>1.9400000000000001E-2</v>
      </c>
    </row>
    <row r="34" spans="2:15" x14ac:dyDescent="0.3">
      <c r="B34" s="4">
        <v>45758</v>
      </c>
      <c r="C34" s="5">
        <v>-1.9900000000000001E-2</v>
      </c>
      <c r="D34" s="5">
        <v>2.75E-2</v>
      </c>
      <c r="F34" s="5">
        <f t="shared" si="1"/>
        <v>2.2760000000000002E-2</v>
      </c>
      <c r="G34" s="5">
        <f t="shared" si="1"/>
        <v>1.8020000000000001E-2</v>
      </c>
      <c r="H34" s="5">
        <f t="shared" si="1"/>
        <v>1.328E-2</v>
      </c>
      <c r="I34" s="5">
        <f t="shared" si="1"/>
        <v>8.5400000000000007E-3</v>
      </c>
      <c r="J34" s="5">
        <f t="shared" si="1"/>
        <v>3.7999999999999996E-3</v>
      </c>
      <c r="K34" s="5">
        <f t="shared" si="1"/>
        <v>-9.3999999999999986E-4</v>
      </c>
      <c r="L34" s="5">
        <f t="shared" si="1"/>
        <v>-5.6799999999999976E-3</v>
      </c>
      <c r="M34" s="5">
        <f t="shared" si="1"/>
        <v>-1.0420000000000002E-2</v>
      </c>
      <c r="N34" s="5">
        <f t="shared" si="1"/>
        <v>-1.5160000000000003E-2</v>
      </c>
      <c r="O34" s="5">
        <f t="shared" si="1"/>
        <v>-1.9900000000000001E-2</v>
      </c>
    </row>
    <row r="35" spans="2:15" x14ac:dyDescent="0.3">
      <c r="B35" s="4">
        <v>45762</v>
      </c>
      <c r="C35" s="5">
        <v>3.0000000000000001E-3</v>
      </c>
      <c r="D35" s="5">
        <v>2.3199999999999998E-2</v>
      </c>
      <c r="F35" s="5">
        <f t="shared" si="1"/>
        <v>2.1180000000000001E-2</v>
      </c>
      <c r="G35" s="5">
        <f t="shared" si="1"/>
        <v>1.916E-2</v>
      </c>
      <c r="H35" s="5">
        <f t="shared" si="1"/>
        <v>1.7139999999999999E-2</v>
      </c>
      <c r="I35" s="5">
        <f t="shared" si="1"/>
        <v>1.5119999999999998E-2</v>
      </c>
      <c r="J35" s="5">
        <f t="shared" si="1"/>
        <v>1.3099999999999999E-2</v>
      </c>
      <c r="K35" s="5">
        <f t="shared" si="1"/>
        <v>1.108E-2</v>
      </c>
      <c r="L35" s="5">
        <f t="shared" si="1"/>
        <v>9.0600000000000003E-3</v>
      </c>
      <c r="M35" s="5">
        <f t="shared" si="1"/>
        <v>7.0399999999999985E-3</v>
      </c>
      <c r="N35" s="5">
        <f t="shared" si="1"/>
        <v>5.0199999999999993E-3</v>
      </c>
      <c r="O35" s="5">
        <f t="shared" si="1"/>
        <v>3.0000000000000001E-3</v>
      </c>
    </row>
    <row r="36" spans="2:15" x14ac:dyDescent="0.3">
      <c r="B36" s="4">
        <v>45763</v>
      </c>
      <c r="C36" s="5">
        <v>6.7000000000000002E-3</v>
      </c>
      <c r="D36" s="5">
        <v>-6.9999999999999999E-4</v>
      </c>
      <c r="F36" s="5">
        <f t="shared" si="1"/>
        <v>3.9999999999999996E-5</v>
      </c>
      <c r="G36" s="5">
        <f t="shared" si="1"/>
        <v>7.7999999999999999E-4</v>
      </c>
      <c r="H36" s="5">
        <f t="shared" si="1"/>
        <v>1.5200000000000001E-3</v>
      </c>
      <c r="I36" s="5">
        <f t="shared" si="1"/>
        <v>2.2600000000000003E-3</v>
      </c>
      <c r="J36" s="5">
        <f t="shared" si="1"/>
        <v>3.0000000000000001E-3</v>
      </c>
      <c r="K36" s="5">
        <f t="shared" si="1"/>
        <v>3.7400000000000003E-3</v>
      </c>
      <c r="L36" s="5">
        <f t="shared" si="1"/>
        <v>4.4799999999999996E-3</v>
      </c>
      <c r="M36" s="5">
        <f t="shared" si="1"/>
        <v>5.2199999999999998E-3</v>
      </c>
      <c r="N36" s="5">
        <f t="shared" si="1"/>
        <v>5.9600000000000009E-3</v>
      </c>
      <c r="O36" s="5">
        <f t="shared" si="1"/>
        <v>6.7000000000000002E-3</v>
      </c>
    </row>
    <row r="37" spans="2:15" x14ac:dyDescent="0.3">
      <c r="B37" s="4">
        <v>45764</v>
      </c>
      <c r="C37" s="5">
        <v>1.35E-2</v>
      </c>
      <c r="D37" s="5">
        <v>4.2900000000000001E-2</v>
      </c>
      <c r="F37" s="5">
        <f t="shared" si="1"/>
        <v>3.9959999999999996E-2</v>
      </c>
      <c r="G37" s="5">
        <f t="shared" si="1"/>
        <v>3.7020000000000004E-2</v>
      </c>
      <c r="H37" s="5">
        <f t="shared" si="1"/>
        <v>3.4079999999999999E-2</v>
      </c>
      <c r="I37" s="5">
        <f t="shared" si="1"/>
        <v>3.1140000000000001E-2</v>
      </c>
      <c r="J37" s="5">
        <f t="shared" si="1"/>
        <v>2.8199999999999999E-2</v>
      </c>
      <c r="K37" s="5">
        <f t="shared" si="1"/>
        <v>2.5260000000000001E-2</v>
      </c>
      <c r="L37" s="5">
        <f t="shared" si="1"/>
        <v>2.232E-2</v>
      </c>
      <c r="M37" s="5">
        <f t="shared" si="1"/>
        <v>1.9380000000000001E-2</v>
      </c>
      <c r="N37" s="5">
        <f t="shared" si="1"/>
        <v>1.644E-2</v>
      </c>
      <c r="O37" s="5">
        <f t="shared" si="1"/>
        <v>1.35E-2</v>
      </c>
    </row>
    <row r="38" spans="2:15" x14ac:dyDescent="0.3">
      <c r="B38" s="4">
        <v>45768</v>
      </c>
      <c r="C38" s="5">
        <v>8.8999999999999999E-3</v>
      </c>
      <c r="D38" s="5">
        <v>1.14E-2</v>
      </c>
      <c r="F38" s="5">
        <f t="shared" si="1"/>
        <v>1.115E-2</v>
      </c>
      <c r="G38" s="5">
        <f t="shared" si="1"/>
        <v>1.0900000000000002E-2</v>
      </c>
      <c r="H38" s="5">
        <f t="shared" si="1"/>
        <v>1.065E-2</v>
      </c>
      <c r="I38" s="5">
        <f t="shared" si="1"/>
        <v>1.04E-2</v>
      </c>
      <c r="J38" s="5">
        <f t="shared" si="1"/>
        <v>1.0149999999999999E-2</v>
      </c>
      <c r="K38" s="5">
        <f t="shared" si="1"/>
        <v>9.9000000000000008E-3</v>
      </c>
      <c r="L38" s="5">
        <f t="shared" si="1"/>
        <v>9.6500000000000006E-3</v>
      </c>
      <c r="M38" s="5">
        <f t="shared" si="1"/>
        <v>9.4000000000000004E-3</v>
      </c>
      <c r="N38" s="5">
        <f t="shared" si="1"/>
        <v>9.1500000000000001E-3</v>
      </c>
      <c r="O38" s="5">
        <f t="shared" si="1"/>
        <v>8.8999999999999999E-3</v>
      </c>
    </row>
    <row r="39" spans="2:15" x14ac:dyDescent="0.3">
      <c r="B39" s="4">
        <v>45769</v>
      </c>
      <c r="C39" s="5">
        <v>-1.5E-3</v>
      </c>
      <c r="D39" s="5">
        <v>1.38E-2</v>
      </c>
      <c r="F39" s="5">
        <f t="shared" si="1"/>
        <v>1.227E-2</v>
      </c>
      <c r="G39" s="5">
        <f t="shared" si="1"/>
        <v>1.0740000000000001E-2</v>
      </c>
      <c r="H39" s="5">
        <f t="shared" si="1"/>
        <v>9.2099999999999977E-3</v>
      </c>
      <c r="I39" s="5">
        <f t="shared" si="1"/>
        <v>7.6799999999999993E-3</v>
      </c>
      <c r="J39" s="5">
        <f t="shared" si="1"/>
        <v>6.1500000000000001E-3</v>
      </c>
      <c r="K39" s="5">
        <f t="shared" si="1"/>
        <v>4.6200000000000008E-3</v>
      </c>
      <c r="L39" s="5">
        <f t="shared" si="1"/>
        <v>3.0900000000000007E-3</v>
      </c>
      <c r="M39" s="5">
        <f t="shared" si="1"/>
        <v>1.5599999999999993E-3</v>
      </c>
      <c r="N39" s="5">
        <f t="shared" si="1"/>
        <v>2.9999999999999645E-5</v>
      </c>
      <c r="O39" s="5">
        <f t="shared" si="1"/>
        <v>-1.5E-3</v>
      </c>
    </row>
    <row r="40" spans="2:15" x14ac:dyDescent="0.3">
      <c r="B40" s="4">
        <v>45770</v>
      </c>
      <c r="C40" s="5">
        <v>1.37E-2</v>
      </c>
      <c r="D40" s="5">
        <v>7.4999999999999997E-3</v>
      </c>
      <c r="F40" s="5">
        <f t="shared" si="1"/>
        <v>8.1200000000000005E-3</v>
      </c>
      <c r="G40" s="5">
        <f t="shared" si="1"/>
        <v>8.7400000000000012E-3</v>
      </c>
      <c r="H40" s="5">
        <f t="shared" si="1"/>
        <v>9.3600000000000003E-3</v>
      </c>
      <c r="I40" s="5">
        <f t="shared" si="1"/>
        <v>9.9799999999999993E-3</v>
      </c>
      <c r="J40" s="5">
        <f t="shared" si="1"/>
        <v>1.06E-2</v>
      </c>
      <c r="K40" s="5">
        <f t="shared" si="1"/>
        <v>1.1220000000000001E-2</v>
      </c>
      <c r="L40" s="5">
        <f t="shared" si="1"/>
        <v>1.184E-2</v>
      </c>
      <c r="M40" s="5">
        <f t="shared" si="1"/>
        <v>1.2460000000000001E-2</v>
      </c>
      <c r="N40" s="5">
        <f t="shared" si="1"/>
        <v>1.3080000000000001E-2</v>
      </c>
      <c r="O40" s="5">
        <f t="shared" si="1"/>
        <v>1.37E-2</v>
      </c>
    </row>
    <row r="41" spans="2:15" x14ac:dyDescent="0.3">
      <c r="B41" s="4">
        <v>45771</v>
      </c>
      <c r="C41" s="5">
        <v>-2.1399999999999999E-2</v>
      </c>
      <c r="D41" s="5">
        <v>-1.2E-2</v>
      </c>
      <c r="F41" s="5">
        <f t="shared" si="1"/>
        <v>-1.294E-2</v>
      </c>
      <c r="G41" s="5">
        <f t="shared" si="1"/>
        <v>-1.388E-2</v>
      </c>
      <c r="H41" s="5">
        <f t="shared" si="1"/>
        <v>-1.482E-2</v>
      </c>
      <c r="I41" s="5">
        <f t="shared" si="1"/>
        <v>-1.576E-2</v>
      </c>
      <c r="J41" s="5">
        <f t="shared" si="1"/>
        <v>-1.67E-2</v>
      </c>
      <c r="K41" s="5">
        <f t="shared" si="1"/>
        <v>-1.7639999999999999E-2</v>
      </c>
      <c r="L41" s="5">
        <f t="shared" si="1"/>
        <v>-1.8579999999999999E-2</v>
      </c>
      <c r="M41" s="5">
        <f t="shared" si="1"/>
        <v>-1.9519999999999999E-2</v>
      </c>
      <c r="N41" s="5">
        <f t="shared" si="1"/>
        <v>-2.0459999999999999E-2</v>
      </c>
      <c r="O41" s="5">
        <f t="shared" si="1"/>
        <v>-2.1399999999999999E-2</v>
      </c>
    </row>
    <row r="42" spans="2:15" x14ac:dyDescent="0.3">
      <c r="B42" s="4">
        <v>45772</v>
      </c>
      <c r="C42" s="5">
        <v>-5.6399999999999999E-2</v>
      </c>
      <c r="D42" s="5">
        <v>-3.2000000000000001E-2</v>
      </c>
      <c r="F42" s="5">
        <f t="shared" si="1"/>
        <v>-3.4440000000000005E-2</v>
      </c>
      <c r="G42" s="5">
        <f t="shared" si="1"/>
        <v>-3.6880000000000003E-2</v>
      </c>
      <c r="H42" s="5">
        <f t="shared" si="1"/>
        <v>-3.9319999999999994E-2</v>
      </c>
      <c r="I42" s="5">
        <f t="shared" si="1"/>
        <v>-4.1759999999999999E-2</v>
      </c>
      <c r="J42" s="5">
        <f t="shared" si="1"/>
        <v>-4.4200000000000003E-2</v>
      </c>
      <c r="K42" s="5">
        <f t="shared" si="1"/>
        <v>-4.6639999999999994E-2</v>
      </c>
      <c r="L42" s="5">
        <f t="shared" si="1"/>
        <v>-4.9079999999999999E-2</v>
      </c>
      <c r="M42" s="5">
        <f t="shared" si="1"/>
        <v>-5.1519999999999996E-2</v>
      </c>
      <c r="N42" s="5">
        <f t="shared" si="1"/>
        <v>-5.3960000000000001E-2</v>
      </c>
      <c r="O42" s="5">
        <f t="shared" si="1"/>
        <v>-5.6399999999999999E-2</v>
      </c>
    </row>
    <row r="43" spans="2:15" x14ac:dyDescent="0.3">
      <c r="B43" s="4">
        <v>45775</v>
      </c>
      <c r="C43" s="5">
        <v>7.3000000000000001E-3</v>
      </c>
      <c r="D43" s="5">
        <v>-7.0000000000000001E-3</v>
      </c>
      <c r="F43" s="5">
        <f t="shared" si="1"/>
        <v>-5.5700000000000003E-3</v>
      </c>
      <c r="G43" s="5">
        <f t="shared" si="1"/>
        <v>-4.1400000000000005E-3</v>
      </c>
      <c r="H43" s="5">
        <f t="shared" si="1"/>
        <v>-2.7099999999999997E-3</v>
      </c>
      <c r="I43" s="5">
        <f t="shared" si="1"/>
        <v>-1.2799999999999995E-3</v>
      </c>
      <c r="J43" s="5">
        <f t="shared" si="1"/>
        <v>1.4999999999999996E-4</v>
      </c>
      <c r="K43" s="5">
        <f t="shared" si="1"/>
        <v>1.5799999999999998E-3</v>
      </c>
      <c r="L43" s="5">
        <f t="shared" si="1"/>
        <v>3.0099999999999997E-3</v>
      </c>
      <c r="M43" s="5">
        <f t="shared" si="1"/>
        <v>4.4400000000000012E-3</v>
      </c>
      <c r="N43" s="5">
        <f t="shared" si="1"/>
        <v>5.8700000000000002E-3</v>
      </c>
      <c r="O43" s="5">
        <f t="shared" si="1"/>
        <v>7.3000000000000001E-3</v>
      </c>
    </row>
    <row r="44" spans="2:15" x14ac:dyDescent="0.3">
      <c r="B44" s="4">
        <v>45776</v>
      </c>
      <c r="C44" s="5">
        <v>-1.2E-2</v>
      </c>
      <c r="D44" s="5">
        <v>1.72E-2</v>
      </c>
      <c r="F44" s="5">
        <f t="shared" si="1"/>
        <v>1.4280000000000001E-2</v>
      </c>
      <c r="G44" s="5">
        <f t="shared" si="1"/>
        <v>1.1360000000000002E-2</v>
      </c>
      <c r="H44" s="5">
        <f t="shared" si="1"/>
        <v>8.4399999999999996E-3</v>
      </c>
      <c r="I44" s="5">
        <f t="shared" si="1"/>
        <v>5.5199999999999989E-3</v>
      </c>
      <c r="J44" s="5">
        <f t="shared" si="1"/>
        <v>2.5999999999999999E-3</v>
      </c>
      <c r="K44" s="5">
        <f t="shared" si="1"/>
        <v>-3.199999999999991E-4</v>
      </c>
      <c r="L44" s="5">
        <f t="shared" si="1"/>
        <v>-3.239999999999999E-3</v>
      </c>
      <c r="M44" s="5">
        <f t="shared" si="1"/>
        <v>-6.1600000000000023E-3</v>
      </c>
      <c r="N44" s="5">
        <f t="shared" si="1"/>
        <v>-9.0800000000000013E-3</v>
      </c>
      <c r="O44" s="5">
        <f t="shared" si="1"/>
        <v>-1.2E-2</v>
      </c>
    </row>
    <row r="45" spans="2:15" x14ac:dyDescent="0.3">
      <c r="B45" s="4">
        <v>45777</v>
      </c>
      <c r="C45" s="5">
        <v>-1.0800000000000001E-2</v>
      </c>
      <c r="D45" s="5">
        <v>6.1000000000000004E-3</v>
      </c>
      <c r="F45" s="5">
        <f t="shared" si="1"/>
        <v>4.4099999999999999E-3</v>
      </c>
      <c r="G45" s="5">
        <f t="shared" si="1"/>
        <v>2.7200000000000006E-3</v>
      </c>
      <c r="H45" s="5">
        <f t="shared" si="1"/>
        <v>1.0300000000000001E-3</v>
      </c>
      <c r="I45" s="5">
        <f t="shared" si="1"/>
        <v>-6.6E-4</v>
      </c>
      <c r="J45" s="5">
        <f t="shared" si="1"/>
        <v>-2.3500000000000001E-3</v>
      </c>
      <c r="K45" s="5">
        <f t="shared" si="1"/>
        <v>-4.0400000000000002E-3</v>
      </c>
      <c r="L45" s="5">
        <f t="shared" si="1"/>
        <v>-5.729999999999999E-3</v>
      </c>
      <c r="M45" s="5">
        <f t="shared" si="1"/>
        <v>-7.4200000000000004E-3</v>
      </c>
      <c r="N45" s="5">
        <f t="shared" si="1"/>
        <v>-9.1100000000000018E-3</v>
      </c>
      <c r="O45" s="5">
        <f t="shared" si="1"/>
        <v>-1.0800000000000001E-2</v>
      </c>
    </row>
    <row r="46" spans="2:15" x14ac:dyDescent="0.3">
      <c r="B46" s="4">
        <v>45779</v>
      </c>
      <c r="C46" s="5">
        <v>-3.5099999999999999E-2</v>
      </c>
      <c r="D46" s="5">
        <v>7.6E-3</v>
      </c>
      <c r="F46" s="5">
        <f t="shared" ref="F46:O71" si="2">F$5*$C46+(1-F$5)*$D46</f>
        <v>3.3299999999999996E-3</v>
      </c>
      <c r="G46" s="5">
        <f t="shared" si="2"/>
        <v>-9.3999999999999986E-4</v>
      </c>
      <c r="H46" s="5">
        <f t="shared" si="2"/>
        <v>-5.2099999999999994E-3</v>
      </c>
      <c r="I46" s="5">
        <f t="shared" si="2"/>
        <v>-9.4800000000000006E-3</v>
      </c>
      <c r="J46" s="5">
        <f t="shared" si="2"/>
        <v>-1.375E-2</v>
      </c>
      <c r="K46" s="5">
        <f t="shared" si="2"/>
        <v>-1.8019999999999998E-2</v>
      </c>
      <c r="L46" s="5">
        <f t="shared" si="2"/>
        <v>-2.2289999999999997E-2</v>
      </c>
      <c r="M46" s="5">
        <f t="shared" si="2"/>
        <v>-2.656E-2</v>
      </c>
      <c r="N46" s="5">
        <f t="shared" si="2"/>
        <v>-3.083E-2</v>
      </c>
      <c r="O46" s="5">
        <f t="shared" si="2"/>
        <v>-3.5099999999999999E-2</v>
      </c>
    </row>
    <row r="47" spans="2:15" x14ac:dyDescent="0.3">
      <c r="B47" s="4">
        <v>45782</v>
      </c>
      <c r="C47" s="5">
        <v>0.12659999999999999</v>
      </c>
      <c r="D47" s="5">
        <v>2.3900000000000001E-2</v>
      </c>
      <c r="F47" s="5">
        <f t="shared" si="2"/>
        <v>3.4169999999999999E-2</v>
      </c>
      <c r="G47" s="5">
        <f t="shared" si="2"/>
        <v>4.444E-2</v>
      </c>
      <c r="H47" s="5">
        <f t="shared" si="2"/>
        <v>5.4709999999999995E-2</v>
      </c>
      <c r="I47" s="5">
        <f t="shared" si="2"/>
        <v>6.4979999999999996E-2</v>
      </c>
      <c r="J47" s="5">
        <f t="shared" si="2"/>
        <v>7.5249999999999997E-2</v>
      </c>
      <c r="K47" s="5">
        <f t="shared" si="2"/>
        <v>8.5519999999999985E-2</v>
      </c>
      <c r="L47" s="5">
        <f t="shared" si="2"/>
        <v>9.5789999999999986E-2</v>
      </c>
      <c r="M47" s="5">
        <f t="shared" si="2"/>
        <v>0.10605999999999999</v>
      </c>
      <c r="N47" s="5">
        <f t="shared" si="2"/>
        <v>0.11633</v>
      </c>
      <c r="O47" s="5">
        <f t="shared" si="2"/>
        <v>0.12659999999999999</v>
      </c>
    </row>
    <row r="48" spans="2:15" x14ac:dyDescent="0.3">
      <c r="B48" s="4">
        <v>45783</v>
      </c>
      <c r="C48" s="5">
        <v>-4.1999999999999997E-3</v>
      </c>
      <c r="D48" s="5">
        <v>-3.0300000000000001E-2</v>
      </c>
      <c r="F48" s="5">
        <f t="shared" si="2"/>
        <v>-2.7690000000000003E-2</v>
      </c>
      <c r="G48" s="5">
        <f t="shared" si="2"/>
        <v>-2.5080000000000002E-2</v>
      </c>
      <c r="H48" s="5">
        <f t="shared" si="2"/>
        <v>-2.247E-2</v>
      </c>
      <c r="I48" s="5">
        <f t="shared" si="2"/>
        <v>-1.9859999999999999E-2</v>
      </c>
      <c r="J48" s="5">
        <f t="shared" si="2"/>
        <v>-1.7250000000000001E-2</v>
      </c>
      <c r="K48" s="5">
        <f t="shared" si="2"/>
        <v>-1.464E-2</v>
      </c>
      <c r="L48" s="5">
        <f t="shared" si="2"/>
        <v>-1.2030000000000001E-2</v>
      </c>
      <c r="M48" s="5">
        <f t="shared" si="2"/>
        <v>-9.4199999999999978E-3</v>
      </c>
      <c r="N48" s="5">
        <f t="shared" si="2"/>
        <v>-6.8099999999999992E-3</v>
      </c>
      <c r="O48" s="5">
        <f t="shared" si="2"/>
        <v>-4.1999999999999997E-3</v>
      </c>
    </row>
    <row r="49" spans="2:15" x14ac:dyDescent="0.3">
      <c r="B49" s="4">
        <v>45784</v>
      </c>
      <c r="C49" s="5">
        <v>-0.04</v>
      </c>
      <c r="D49" s="5">
        <v>1.83E-2</v>
      </c>
      <c r="F49" s="5">
        <f t="shared" si="2"/>
        <v>1.2470000000000002E-2</v>
      </c>
      <c r="G49" s="5">
        <f t="shared" si="2"/>
        <v>6.6400000000000001E-3</v>
      </c>
      <c r="H49" s="5">
        <f t="shared" si="2"/>
        <v>8.0999999999999996E-4</v>
      </c>
      <c r="I49" s="5">
        <f t="shared" si="2"/>
        <v>-5.0200000000000002E-3</v>
      </c>
      <c r="J49" s="5">
        <f t="shared" si="2"/>
        <v>-1.085E-2</v>
      </c>
      <c r="K49" s="5">
        <f t="shared" si="2"/>
        <v>-1.668E-2</v>
      </c>
      <c r="L49" s="5">
        <f t="shared" si="2"/>
        <v>-2.2509999999999995E-2</v>
      </c>
      <c r="M49" s="5">
        <f t="shared" si="2"/>
        <v>-2.8340000000000001E-2</v>
      </c>
      <c r="N49" s="5">
        <f t="shared" si="2"/>
        <v>-3.4170000000000006E-2</v>
      </c>
      <c r="O49" s="5">
        <f t="shared" si="2"/>
        <v>-0.04</v>
      </c>
    </row>
    <row r="50" spans="2:15" x14ac:dyDescent="0.3">
      <c r="B50" s="4">
        <v>45785</v>
      </c>
      <c r="C50" s="5">
        <v>-4.1399999999999999E-2</v>
      </c>
      <c r="D50" s="5">
        <v>-2.9899999999999999E-2</v>
      </c>
      <c r="F50" s="5">
        <f t="shared" si="2"/>
        <v>-3.1050000000000001E-2</v>
      </c>
      <c r="G50" s="5">
        <f t="shared" si="2"/>
        <v>-3.2199999999999999E-2</v>
      </c>
      <c r="H50" s="5">
        <f t="shared" si="2"/>
        <v>-3.3349999999999998E-2</v>
      </c>
      <c r="I50" s="5">
        <f t="shared" si="2"/>
        <v>-3.4500000000000003E-2</v>
      </c>
      <c r="J50" s="5">
        <f t="shared" si="2"/>
        <v>-3.5650000000000001E-2</v>
      </c>
      <c r="K50" s="5">
        <f t="shared" si="2"/>
        <v>-3.6799999999999999E-2</v>
      </c>
      <c r="L50" s="5">
        <f t="shared" si="2"/>
        <v>-3.7949999999999998E-2</v>
      </c>
      <c r="M50" s="5">
        <f t="shared" si="2"/>
        <v>-3.9100000000000003E-2</v>
      </c>
      <c r="N50" s="5">
        <f t="shared" si="2"/>
        <v>-4.0250000000000001E-2</v>
      </c>
      <c r="O50" s="5">
        <f t="shared" si="2"/>
        <v>-4.1399999999999999E-2</v>
      </c>
    </row>
    <row r="51" spans="2:15" x14ac:dyDescent="0.3">
      <c r="B51" s="4">
        <v>45786</v>
      </c>
      <c r="C51" s="5">
        <v>-6.7000000000000002E-3</v>
      </c>
      <c r="D51" s="5">
        <v>-1.1599999999999999E-2</v>
      </c>
      <c r="F51" s="5">
        <f t="shared" si="2"/>
        <v>-1.111E-2</v>
      </c>
      <c r="G51" s="5">
        <f t="shared" si="2"/>
        <v>-1.0620000000000001E-2</v>
      </c>
      <c r="H51" s="5">
        <f t="shared" si="2"/>
        <v>-1.0129999999999998E-2</v>
      </c>
      <c r="I51" s="5">
        <f t="shared" si="2"/>
        <v>-9.6399999999999993E-3</v>
      </c>
      <c r="J51" s="5">
        <f t="shared" si="2"/>
        <v>-9.1500000000000001E-3</v>
      </c>
      <c r="K51" s="5">
        <f t="shared" si="2"/>
        <v>-8.660000000000001E-3</v>
      </c>
      <c r="L51" s="5">
        <f t="shared" si="2"/>
        <v>-8.1700000000000002E-3</v>
      </c>
      <c r="M51" s="5">
        <f t="shared" si="2"/>
        <v>-7.6799999999999993E-3</v>
      </c>
      <c r="N51" s="5">
        <f t="shared" si="2"/>
        <v>-7.1900000000000002E-3</v>
      </c>
      <c r="O51" s="5">
        <f t="shared" si="2"/>
        <v>-6.7000000000000002E-3</v>
      </c>
    </row>
    <row r="52" spans="2:15" x14ac:dyDescent="0.3">
      <c r="B52" s="4">
        <v>45789</v>
      </c>
      <c r="C52" s="5">
        <v>2.3E-2</v>
      </c>
      <c r="D52" s="5">
        <v>5.4399999999999997E-2</v>
      </c>
      <c r="F52" s="5">
        <f t="shared" si="2"/>
        <v>5.126E-2</v>
      </c>
      <c r="G52" s="5">
        <f t="shared" si="2"/>
        <v>4.8120000000000003E-2</v>
      </c>
      <c r="H52" s="5">
        <f t="shared" si="2"/>
        <v>4.4979999999999992E-2</v>
      </c>
      <c r="I52" s="5">
        <f t="shared" si="2"/>
        <v>4.1839999999999995E-2</v>
      </c>
      <c r="J52" s="5">
        <f t="shared" si="2"/>
        <v>3.8699999999999998E-2</v>
      </c>
      <c r="K52" s="5">
        <f t="shared" si="2"/>
        <v>3.5560000000000001E-2</v>
      </c>
      <c r="L52" s="5">
        <f t="shared" si="2"/>
        <v>3.2420000000000004E-2</v>
      </c>
      <c r="M52" s="5">
        <f t="shared" si="2"/>
        <v>2.9279999999999997E-2</v>
      </c>
      <c r="N52" s="5">
        <f t="shared" si="2"/>
        <v>2.6139999999999997E-2</v>
      </c>
      <c r="O52" s="5">
        <f t="shared" si="2"/>
        <v>2.3E-2</v>
      </c>
    </row>
    <row r="53" spans="2:15" x14ac:dyDescent="0.3">
      <c r="B53" s="4">
        <v>45790</v>
      </c>
      <c r="C53" s="5">
        <v>-3.04E-2</v>
      </c>
      <c r="D53" s="5">
        <v>-3.2800000000000003E-2</v>
      </c>
      <c r="F53" s="5">
        <f t="shared" si="2"/>
        <v>-3.2560000000000006E-2</v>
      </c>
      <c r="G53" s="5">
        <f t="shared" si="2"/>
        <v>-3.2320000000000002E-2</v>
      </c>
      <c r="H53" s="5">
        <f t="shared" si="2"/>
        <v>-3.2079999999999997E-2</v>
      </c>
      <c r="I53" s="5">
        <f t="shared" si="2"/>
        <v>-3.184E-2</v>
      </c>
      <c r="J53" s="5">
        <f t="shared" si="2"/>
        <v>-3.1600000000000003E-2</v>
      </c>
      <c r="K53" s="5">
        <f t="shared" si="2"/>
        <v>-3.1359999999999999E-2</v>
      </c>
      <c r="L53" s="5">
        <f t="shared" si="2"/>
        <v>-3.1120000000000002E-2</v>
      </c>
      <c r="M53" s="5">
        <f t="shared" si="2"/>
        <v>-3.0880000000000001E-2</v>
      </c>
      <c r="N53" s="5">
        <f t="shared" si="2"/>
        <v>-3.0639999999999997E-2</v>
      </c>
      <c r="O53" s="5">
        <f t="shared" si="2"/>
        <v>-3.04E-2</v>
      </c>
    </row>
    <row r="54" spans="2:15" x14ac:dyDescent="0.3">
      <c r="B54" s="4">
        <v>45791</v>
      </c>
      <c r="C54" s="5">
        <v>-1.0500000000000001E-2</v>
      </c>
      <c r="D54" s="5">
        <v>2.2499999999999999E-2</v>
      </c>
      <c r="F54" s="5">
        <f t="shared" si="2"/>
        <v>1.9200000000000002E-2</v>
      </c>
      <c r="G54" s="5">
        <f t="shared" si="2"/>
        <v>1.5899999999999997E-2</v>
      </c>
      <c r="H54" s="5">
        <f t="shared" si="2"/>
        <v>1.26E-2</v>
      </c>
      <c r="I54" s="5">
        <f t="shared" si="2"/>
        <v>9.2999999999999992E-3</v>
      </c>
      <c r="J54" s="5">
        <f t="shared" si="2"/>
        <v>5.9999999999999993E-3</v>
      </c>
      <c r="K54" s="5">
        <f t="shared" si="2"/>
        <v>2.6999999999999993E-3</v>
      </c>
      <c r="L54" s="5">
        <f t="shared" si="2"/>
        <v>-5.9999999999999897E-4</v>
      </c>
      <c r="M54" s="5">
        <f t="shared" si="2"/>
        <v>-3.9000000000000024E-3</v>
      </c>
      <c r="N54" s="5">
        <f t="shared" si="2"/>
        <v>-7.2000000000000007E-3</v>
      </c>
      <c r="O54" s="5">
        <f t="shared" si="2"/>
        <v>-1.0500000000000001E-2</v>
      </c>
    </row>
    <row r="55" spans="2:15" x14ac:dyDescent="0.3">
      <c r="B55" s="4">
        <v>45792</v>
      </c>
      <c r="C55" s="5">
        <v>2.9100000000000001E-2</v>
      </c>
      <c r="D55" s="5">
        <v>2.4199999999999999E-2</v>
      </c>
      <c r="F55" s="5">
        <f t="shared" si="2"/>
        <v>2.469E-2</v>
      </c>
      <c r="G55" s="5">
        <f t="shared" si="2"/>
        <v>2.5180000000000001E-2</v>
      </c>
      <c r="H55" s="5">
        <f t="shared" si="2"/>
        <v>2.5669999999999998E-2</v>
      </c>
      <c r="I55" s="5">
        <f t="shared" si="2"/>
        <v>2.6159999999999999E-2</v>
      </c>
      <c r="J55" s="5">
        <f t="shared" si="2"/>
        <v>2.665E-2</v>
      </c>
      <c r="K55" s="5">
        <f t="shared" si="2"/>
        <v>2.7140000000000001E-2</v>
      </c>
      <c r="L55" s="5">
        <f t="shared" si="2"/>
        <v>2.7630000000000002E-2</v>
      </c>
      <c r="M55" s="5">
        <f t="shared" si="2"/>
        <v>2.8119999999999999E-2</v>
      </c>
      <c r="N55" s="5">
        <f t="shared" si="2"/>
        <v>2.861E-2</v>
      </c>
      <c r="O55" s="5">
        <f t="shared" si="2"/>
        <v>2.9100000000000001E-2</v>
      </c>
    </row>
    <row r="56" spans="2:15" x14ac:dyDescent="0.3">
      <c r="B56" s="4">
        <v>45793</v>
      </c>
      <c r="C56" s="5">
        <v>1.5699999999999999E-2</v>
      </c>
      <c r="D56" s="5">
        <v>1.3100000000000001E-2</v>
      </c>
      <c r="F56" s="5">
        <f t="shared" si="2"/>
        <v>1.336E-2</v>
      </c>
      <c r="G56" s="5">
        <f t="shared" si="2"/>
        <v>1.3620000000000002E-2</v>
      </c>
      <c r="H56" s="5">
        <f t="shared" si="2"/>
        <v>1.388E-2</v>
      </c>
      <c r="I56" s="5">
        <f t="shared" si="2"/>
        <v>1.414E-2</v>
      </c>
      <c r="J56" s="5">
        <f t="shared" si="2"/>
        <v>1.44E-2</v>
      </c>
      <c r="K56" s="5">
        <f t="shared" si="2"/>
        <v>1.4659999999999999E-2</v>
      </c>
      <c r="L56" s="5">
        <f t="shared" si="2"/>
        <v>1.4919999999999999E-2</v>
      </c>
      <c r="M56" s="5">
        <f t="shared" si="2"/>
        <v>1.5179999999999999E-2</v>
      </c>
      <c r="N56" s="5">
        <f t="shared" si="2"/>
        <v>1.5439999999999999E-2</v>
      </c>
      <c r="O56" s="5">
        <f t="shared" si="2"/>
        <v>1.5699999999999999E-2</v>
      </c>
    </row>
    <row r="57" spans="2:15" x14ac:dyDescent="0.3">
      <c r="B57" s="4">
        <v>45796</v>
      </c>
      <c r="C57" s="5">
        <v>7.1999999999999998E-3</v>
      </c>
      <c r="D57" s="5">
        <v>-3.15E-2</v>
      </c>
      <c r="F57" s="5">
        <f t="shared" si="2"/>
        <v>-2.7630000000000002E-2</v>
      </c>
      <c r="G57" s="5">
        <f t="shared" si="2"/>
        <v>-2.376E-2</v>
      </c>
      <c r="H57" s="5">
        <f t="shared" si="2"/>
        <v>-1.9890000000000001E-2</v>
      </c>
      <c r="I57" s="5">
        <f t="shared" si="2"/>
        <v>-1.602E-2</v>
      </c>
      <c r="J57" s="5">
        <f t="shared" si="2"/>
        <v>-1.2150000000000001E-2</v>
      </c>
      <c r="K57" s="5">
        <f t="shared" si="2"/>
        <v>-8.2799999999999992E-3</v>
      </c>
      <c r="L57" s="5">
        <f t="shared" si="2"/>
        <v>-4.4100000000000025E-3</v>
      </c>
      <c r="M57" s="5">
        <f t="shared" si="2"/>
        <v>-5.3999999999999795E-4</v>
      </c>
      <c r="N57" s="5">
        <f t="shared" si="2"/>
        <v>3.3300000000000005E-3</v>
      </c>
      <c r="O57" s="5">
        <f t="shared" si="2"/>
        <v>7.1999999999999998E-3</v>
      </c>
    </row>
    <row r="58" spans="2:15" x14ac:dyDescent="0.3">
      <c r="B58" s="4">
        <v>45797</v>
      </c>
      <c r="C58" s="5">
        <v>-3.7600000000000001E-2</v>
      </c>
      <c r="D58" s="5">
        <v>-4.1000000000000002E-2</v>
      </c>
      <c r="F58" s="5">
        <f t="shared" si="2"/>
        <v>-4.0660000000000002E-2</v>
      </c>
      <c r="G58" s="5">
        <f t="shared" si="2"/>
        <v>-4.0320000000000002E-2</v>
      </c>
      <c r="H58" s="5">
        <f t="shared" si="2"/>
        <v>-3.9980000000000002E-2</v>
      </c>
      <c r="I58" s="5">
        <f t="shared" si="2"/>
        <v>-3.9640000000000002E-2</v>
      </c>
      <c r="J58" s="5">
        <f t="shared" si="2"/>
        <v>-3.9300000000000002E-2</v>
      </c>
      <c r="K58" s="5">
        <f t="shared" si="2"/>
        <v>-3.8960000000000002E-2</v>
      </c>
      <c r="L58" s="5">
        <f t="shared" si="2"/>
        <v>-3.8620000000000002E-2</v>
      </c>
      <c r="M58" s="5">
        <f t="shared" si="2"/>
        <v>-3.8280000000000002E-2</v>
      </c>
      <c r="N58" s="5">
        <f t="shared" si="2"/>
        <v>-3.7940000000000002E-2</v>
      </c>
      <c r="O58" s="5">
        <f t="shared" si="2"/>
        <v>-3.7600000000000001E-2</v>
      </c>
    </row>
    <row r="59" spans="2:15" x14ac:dyDescent="0.3">
      <c r="B59" s="4">
        <v>45798</v>
      </c>
      <c r="C59" s="5">
        <v>7.9000000000000008E-3</v>
      </c>
      <c r="D59" s="5">
        <v>7.4000000000000003E-3</v>
      </c>
      <c r="F59" s="5">
        <f t="shared" si="2"/>
        <v>7.45E-3</v>
      </c>
      <c r="G59" s="5">
        <f t="shared" si="2"/>
        <v>7.5000000000000015E-3</v>
      </c>
      <c r="H59" s="5">
        <f t="shared" si="2"/>
        <v>7.5499999999999994E-3</v>
      </c>
      <c r="I59" s="5">
        <f t="shared" si="2"/>
        <v>7.6000000000000009E-3</v>
      </c>
      <c r="J59" s="5">
        <f t="shared" si="2"/>
        <v>7.6500000000000005E-3</v>
      </c>
      <c r="K59" s="5">
        <f t="shared" si="2"/>
        <v>7.7000000000000002E-3</v>
      </c>
      <c r="L59" s="5">
        <f t="shared" si="2"/>
        <v>7.7500000000000008E-3</v>
      </c>
      <c r="M59" s="5">
        <f t="shared" si="2"/>
        <v>7.8000000000000005E-3</v>
      </c>
      <c r="N59" s="5">
        <f t="shared" si="2"/>
        <v>7.8500000000000011E-3</v>
      </c>
      <c r="O59" s="5">
        <f t="shared" si="2"/>
        <v>7.9000000000000008E-3</v>
      </c>
    </row>
    <row r="60" spans="2:15" x14ac:dyDescent="0.3">
      <c r="B60" s="4">
        <v>45799</v>
      </c>
      <c r="C60" s="5">
        <v>4.0000000000000001E-3</v>
      </c>
      <c r="D60" s="5">
        <v>-4.1000000000000003E-3</v>
      </c>
      <c r="F60" s="5">
        <f t="shared" si="2"/>
        <v>-3.2900000000000004E-3</v>
      </c>
      <c r="G60" s="5">
        <f t="shared" si="2"/>
        <v>-2.4800000000000004E-3</v>
      </c>
      <c r="H60" s="5">
        <f t="shared" si="2"/>
        <v>-1.6700000000000003E-3</v>
      </c>
      <c r="I60" s="5">
        <f t="shared" si="2"/>
        <v>-8.5999999999999987E-4</v>
      </c>
      <c r="J60" s="5">
        <f t="shared" si="2"/>
        <v>-5.0000000000000131E-5</v>
      </c>
      <c r="K60" s="5">
        <f t="shared" si="2"/>
        <v>7.5999999999999961E-4</v>
      </c>
      <c r="L60" s="5">
        <f t="shared" si="2"/>
        <v>1.5699999999999998E-3</v>
      </c>
      <c r="M60" s="5">
        <f t="shared" si="2"/>
        <v>2.3800000000000002E-3</v>
      </c>
      <c r="N60" s="5">
        <f t="shared" si="2"/>
        <v>3.1900000000000006E-3</v>
      </c>
      <c r="O60" s="5">
        <f t="shared" si="2"/>
        <v>4.0000000000000001E-3</v>
      </c>
    </row>
    <row r="61" spans="2:15" x14ac:dyDescent="0.3">
      <c r="B61" s="4">
        <v>45800</v>
      </c>
      <c r="C61" s="5">
        <v>2.7300000000000001E-2</v>
      </c>
      <c r="D61" s="5">
        <v>3.7199999999999997E-2</v>
      </c>
      <c r="F61" s="5">
        <f t="shared" si="2"/>
        <v>3.6209999999999999E-2</v>
      </c>
      <c r="G61" s="5">
        <f t="shared" si="2"/>
        <v>3.5220000000000001E-2</v>
      </c>
      <c r="H61" s="5">
        <f t="shared" si="2"/>
        <v>3.4229999999999997E-2</v>
      </c>
      <c r="I61" s="5">
        <f t="shared" si="2"/>
        <v>3.3239999999999999E-2</v>
      </c>
      <c r="J61" s="5">
        <f t="shared" si="2"/>
        <v>3.2250000000000001E-2</v>
      </c>
      <c r="K61" s="5">
        <f t="shared" si="2"/>
        <v>3.1259999999999996E-2</v>
      </c>
      <c r="L61" s="5">
        <f t="shared" si="2"/>
        <v>3.0269999999999998E-2</v>
      </c>
      <c r="M61" s="5">
        <f t="shared" si="2"/>
        <v>2.928E-2</v>
      </c>
      <c r="N61" s="5">
        <f t="shared" si="2"/>
        <v>2.8289999999999999E-2</v>
      </c>
      <c r="O61" s="5">
        <f t="shared" si="2"/>
        <v>2.7300000000000001E-2</v>
      </c>
    </row>
    <row r="62" spans="2:15" x14ac:dyDescent="0.3">
      <c r="B62" s="4">
        <v>45803</v>
      </c>
      <c r="C62" s="5">
        <v>-8.6999999999999994E-3</v>
      </c>
      <c r="D62" s="5">
        <v>-4.53E-2</v>
      </c>
      <c r="F62" s="5">
        <f t="shared" si="2"/>
        <v>-4.1640000000000003E-2</v>
      </c>
      <c r="G62" s="5">
        <f t="shared" si="2"/>
        <v>-3.798E-2</v>
      </c>
      <c r="H62" s="5">
        <f t="shared" si="2"/>
        <v>-3.4319999999999996E-2</v>
      </c>
      <c r="I62" s="5">
        <f t="shared" si="2"/>
        <v>-3.066E-2</v>
      </c>
      <c r="J62" s="5">
        <f t="shared" si="2"/>
        <v>-2.7E-2</v>
      </c>
      <c r="K62" s="5">
        <f t="shared" si="2"/>
        <v>-2.334E-2</v>
      </c>
      <c r="L62" s="5">
        <f t="shared" si="2"/>
        <v>-1.968E-2</v>
      </c>
      <c r="M62" s="5">
        <f t="shared" si="2"/>
        <v>-1.602E-2</v>
      </c>
      <c r="N62" s="5">
        <f t="shared" si="2"/>
        <v>-1.2359999999999999E-2</v>
      </c>
      <c r="O62" s="5">
        <f t="shared" si="2"/>
        <v>-8.6999999999999994E-3</v>
      </c>
    </row>
    <row r="63" spans="2:15" x14ac:dyDescent="0.3">
      <c r="B63" s="4">
        <v>45804</v>
      </c>
      <c r="C63" s="5">
        <v>-2.2000000000000001E-3</v>
      </c>
      <c r="D63" s="5">
        <v>-8.8999999999999999E-3</v>
      </c>
      <c r="F63" s="5">
        <f t="shared" si="2"/>
        <v>-8.2299999999999995E-3</v>
      </c>
      <c r="G63" s="5">
        <f t="shared" si="2"/>
        <v>-7.5600000000000007E-3</v>
      </c>
      <c r="H63" s="5">
        <f t="shared" si="2"/>
        <v>-6.8899999999999994E-3</v>
      </c>
      <c r="I63" s="5">
        <f t="shared" si="2"/>
        <v>-6.2199999999999998E-3</v>
      </c>
      <c r="J63" s="5">
        <f t="shared" si="2"/>
        <v>-5.5500000000000002E-3</v>
      </c>
      <c r="K63" s="5">
        <f t="shared" si="2"/>
        <v>-4.8800000000000007E-3</v>
      </c>
      <c r="L63" s="5">
        <f t="shared" si="2"/>
        <v>-4.2100000000000002E-3</v>
      </c>
      <c r="M63" s="5">
        <f t="shared" si="2"/>
        <v>-3.5399999999999997E-3</v>
      </c>
      <c r="N63" s="5">
        <f t="shared" si="2"/>
        <v>-2.8699999999999997E-3</v>
      </c>
      <c r="O63" s="5">
        <f t="shared" si="2"/>
        <v>-2.2000000000000001E-3</v>
      </c>
    </row>
    <row r="64" spans="2:15" x14ac:dyDescent="0.3">
      <c r="B64" s="4">
        <v>45805</v>
      </c>
      <c r="C64" s="5">
        <v>2.0000000000000001E-4</v>
      </c>
      <c r="D64" s="5">
        <v>-2.7000000000000001E-3</v>
      </c>
      <c r="F64" s="5">
        <f t="shared" si="2"/>
        <v>-2.4100000000000002E-3</v>
      </c>
      <c r="G64" s="5">
        <f t="shared" si="2"/>
        <v>-2.1199999999999999E-3</v>
      </c>
      <c r="H64" s="5">
        <f t="shared" si="2"/>
        <v>-1.83E-3</v>
      </c>
      <c r="I64" s="5">
        <f t="shared" si="2"/>
        <v>-1.5400000000000001E-3</v>
      </c>
      <c r="J64" s="5">
        <f t="shared" si="2"/>
        <v>-1.25E-3</v>
      </c>
      <c r="K64" s="5">
        <f t="shared" si="2"/>
        <v>-9.6000000000000002E-4</v>
      </c>
      <c r="L64" s="5">
        <f t="shared" si="2"/>
        <v>-6.7000000000000024E-4</v>
      </c>
      <c r="M64" s="5">
        <f t="shared" si="2"/>
        <v>-3.7999999999999991E-4</v>
      </c>
      <c r="N64" s="5">
        <f t="shared" si="2"/>
        <v>-8.9999999999999938E-5</v>
      </c>
      <c r="O64" s="5">
        <f t="shared" si="2"/>
        <v>2.0000000000000001E-4</v>
      </c>
    </row>
    <row r="65" spans="2:15" x14ac:dyDescent="0.3">
      <c r="B65" s="4">
        <v>45806</v>
      </c>
      <c r="C65" s="5">
        <v>2.7E-2</v>
      </c>
      <c r="D65" s="5">
        <v>1.8700000000000001E-2</v>
      </c>
      <c r="F65" s="5">
        <f t="shared" si="2"/>
        <v>1.9530000000000002E-2</v>
      </c>
      <c r="G65" s="5">
        <f t="shared" si="2"/>
        <v>2.0360000000000003E-2</v>
      </c>
      <c r="H65" s="5">
        <f t="shared" si="2"/>
        <v>2.1190000000000001E-2</v>
      </c>
      <c r="I65" s="5">
        <f t="shared" si="2"/>
        <v>2.2020000000000001E-2</v>
      </c>
      <c r="J65" s="5">
        <f t="shared" si="2"/>
        <v>2.2850000000000002E-2</v>
      </c>
      <c r="K65" s="5">
        <f t="shared" si="2"/>
        <v>2.368E-2</v>
      </c>
      <c r="L65" s="5">
        <f t="shared" si="2"/>
        <v>2.4510000000000001E-2</v>
      </c>
      <c r="M65" s="5">
        <f t="shared" si="2"/>
        <v>2.5340000000000001E-2</v>
      </c>
      <c r="N65" s="5">
        <f t="shared" si="2"/>
        <v>2.6169999999999999E-2</v>
      </c>
      <c r="O65" s="5">
        <f t="shared" si="2"/>
        <v>2.7E-2</v>
      </c>
    </row>
    <row r="66" spans="2:15" x14ac:dyDescent="0.3">
      <c r="B66" s="4">
        <v>45807</v>
      </c>
      <c r="C66" s="5">
        <v>1.2800000000000001E-2</v>
      </c>
      <c r="D66" s="5">
        <v>4.3499999999999997E-2</v>
      </c>
      <c r="F66" s="5">
        <f t="shared" si="2"/>
        <v>4.0430000000000001E-2</v>
      </c>
      <c r="G66" s="5">
        <f t="shared" si="2"/>
        <v>3.7359999999999997E-2</v>
      </c>
      <c r="H66" s="5">
        <f t="shared" si="2"/>
        <v>3.4289999999999994E-2</v>
      </c>
      <c r="I66" s="5">
        <f t="shared" si="2"/>
        <v>3.1219999999999998E-2</v>
      </c>
      <c r="J66" s="5">
        <f t="shared" si="2"/>
        <v>2.8149999999999998E-2</v>
      </c>
      <c r="K66" s="5">
        <f t="shared" si="2"/>
        <v>2.5079999999999998E-2</v>
      </c>
      <c r="L66" s="5">
        <f t="shared" si="2"/>
        <v>2.2010000000000002E-2</v>
      </c>
      <c r="M66" s="5">
        <f t="shared" si="2"/>
        <v>1.8939999999999999E-2</v>
      </c>
      <c r="N66" s="5">
        <f t="shared" si="2"/>
        <v>1.5869999999999999E-2</v>
      </c>
      <c r="O66" s="5">
        <f t="shared" si="2"/>
        <v>1.2800000000000001E-2</v>
      </c>
    </row>
    <row r="67" spans="2:15" x14ac:dyDescent="0.3">
      <c r="B67" s="4">
        <v>45810</v>
      </c>
      <c r="C67" s="5">
        <v>8.0000000000000004E-4</v>
      </c>
      <c r="D67" s="5">
        <v>1.21E-2</v>
      </c>
      <c r="F67" s="5">
        <f t="shared" si="2"/>
        <v>1.0970000000000001E-2</v>
      </c>
      <c r="G67" s="5">
        <f t="shared" si="2"/>
        <v>9.8400000000000015E-3</v>
      </c>
      <c r="H67" s="5">
        <f t="shared" si="2"/>
        <v>8.709999999999999E-3</v>
      </c>
      <c r="I67" s="5">
        <f t="shared" si="2"/>
        <v>7.5799999999999991E-3</v>
      </c>
      <c r="J67" s="5">
        <f t="shared" si="2"/>
        <v>6.45E-3</v>
      </c>
      <c r="K67" s="5">
        <f t="shared" si="2"/>
        <v>5.3200000000000009E-3</v>
      </c>
      <c r="L67" s="5">
        <f t="shared" si="2"/>
        <v>4.1900000000000001E-3</v>
      </c>
      <c r="M67" s="5">
        <f t="shared" si="2"/>
        <v>3.0599999999999994E-3</v>
      </c>
      <c r="N67" s="5">
        <f t="shared" si="2"/>
        <v>1.9299999999999999E-3</v>
      </c>
      <c r="O67" s="5">
        <f t="shared" si="2"/>
        <v>8.0000000000000004E-4</v>
      </c>
    </row>
    <row r="68" spans="2:15" x14ac:dyDescent="0.3">
      <c r="B68" s="4">
        <v>45811</v>
      </c>
      <c r="C68" s="5">
        <v>-2.9999999999999997E-4</v>
      </c>
      <c r="D68" s="5">
        <v>-1.4500000000000001E-2</v>
      </c>
      <c r="F68" s="5">
        <f t="shared" si="2"/>
        <v>-1.3080000000000001E-2</v>
      </c>
      <c r="G68" s="5">
        <f t="shared" si="2"/>
        <v>-1.166E-2</v>
      </c>
      <c r="H68" s="5">
        <f t="shared" si="2"/>
        <v>-1.0239999999999999E-2</v>
      </c>
      <c r="I68" s="5">
        <f t="shared" si="2"/>
        <v>-8.8199999999999997E-3</v>
      </c>
      <c r="J68" s="5">
        <f t="shared" si="2"/>
        <v>-7.4000000000000003E-3</v>
      </c>
      <c r="K68" s="5">
        <f t="shared" si="2"/>
        <v>-5.9800000000000001E-3</v>
      </c>
      <c r="L68" s="5">
        <f t="shared" si="2"/>
        <v>-4.5600000000000007E-3</v>
      </c>
      <c r="M68" s="5">
        <f t="shared" si="2"/>
        <v>-3.1399999999999996E-3</v>
      </c>
      <c r="N68" s="5">
        <f t="shared" si="2"/>
        <v>-1.7199999999999997E-3</v>
      </c>
      <c r="O68" s="5">
        <f t="shared" si="2"/>
        <v>-2.9999999999999997E-4</v>
      </c>
    </row>
    <row r="69" spans="2:15" x14ac:dyDescent="0.3">
      <c r="B69" s="4">
        <v>45812</v>
      </c>
      <c r="C69" s="5">
        <v>8.8700000000000001E-2</v>
      </c>
      <c r="D69" s="5">
        <v>3.3599999999999998E-2</v>
      </c>
      <c r="F69" s="5">
        <f t="shared" si="2"/>
        <v>3.9109999999999999E-2</v>
      </c>
      <c r="G69" s="5">
        <f t="shared" si="2"/>
        <v>4.4620000000000007E-2</v>
      </c>
      <c r="H69" s="5">
        <f t="shared" si="2"/>
        <v>5.0129999999999994E-2</v>
      </c>
      <c r="I69" s="5">
        <f t="shared" si="2"/>
        <v>5.5640000000000002E-2</v>
      </c>
      <c r="J69" s="5">
        <f t="shared" si="2"/>
        <v>6.1149999999999996E-2</v>
      </c>
      <c r="K69" s="5">
        <f t="shared" si="2"/>
        <v>6.6659999999999997E-2</v>
      </c>
      <c r="L69" s="5">
        <f t="shared" si="2"/>
        <v>7.2169999999999998E-2</v>
      </c>
      <c r="M69" s="5">
        <f t="shared" si="2"/>
        <v>7.7680000000000013E-2</v>
      </c>
      <c r="N69" s="5">
        <f t="shared" si="2"/>
        <v>8.319E-2</v>
      </c>
      <c r="O69" s="5">
        <f t="shared" si="2"/>
        <v>8.8700000000000001E-2</v>
      </c>
    </row>
    <row r="70" spans="2:15" x14ac:dyDescent="0.3">
      <c r="B70" s="4">
        <v>45813</v>
      </c>
      <c r="C70" s="5">
        <v>3.8999999999999998E-3</v>
      </c>
      <c r="D70" s="5">
        <v>4.4299999999999999E-2</v>
      </c>
      <c r="F70" s="5">
        <f t="shared" si="2"/>
        <v>4.0260000000000004E-2</v>
      </c>
      <c r="G70" s="5">
        <f t="shared" si="2"/>
        <v>3.6220000000000002E-2</v>
      </c>
      <c r="H70" s="5">
        <f t="shared" si="2"/>
        <v>3.2179999999999993E-2</v>
      </c>
      <c r="I70" s="5">
        <f t="shared" si="2"/>
        <v>2.8139999999999998E-2</v>
      </c>
      <c r="J70" s="5">
        <f t="shared" si="2"/>
        <v>2.41E-2</v>
      </c>
      <c r="K70" s="5">
        <f t="shared" si="2"/>
        <v>2.0059999999999998E-2</v>
      </c>
      <c r="L70" s="5">
        <f t="shared" si="2"/>
        <v>1.602E-2</v>
      </c>
      <c r="M70" s="5">
        <f t="shared" si="2"/>
        <v>1.1979999999999998E-2</v>
      </c>
      <c r="N70" s="5">
        <f t="shared" si="2"/>
        <v>7.9399999999999991E-3</v>
      </c>
      <c r="O70" s="5">
        <f t="shared" si="2"/>
        <v>3.8999999999999998E-3</v>
      </c>
    </row>
    <row r="71" spans="2:15" x14ac:dyDescent="0.3">
      <c r="B71" s="4">
        <v>45814</v>
      </c>
      <c r="C71" s="5">
        <v>2.8299999999999999E-2</v>
      </c>
      <c r="D71" s="5">
        <v>2.07E-2</v>
      </c>
      <c r="F71" s="5">
        <f t="shared" si="2"/>
        <v>2.146E-2</v>
      </c>
      <c r="G71" s="5">
        <f t="shared" si="2"/>
        <v>2.2220000000000004E-2</v>
      </c>
      <c r="H71" s="5">
        <f t="shared" si="2"/>
        <v>2.298E-2</v>
      </c>
      <c r="I71" s="5">
        <f t="shared" si="2"/>
        <v>2.3739999999999997E-2</v>
      </c>
      <c r="J71" s="5">
        <f t="shared" si="2"/>
        <v>2.4500000000000001E-2</v>
      </c>
      <c r="K71" s="5">
        <f t="shared" ref="G71:O99" si="3">K$5*$C71+(1-K$5)*$D71</f>
        <v>2.5259999999999998E-2</v>
      </c>
      <c r="L71" s="5">
        <f t="shared" si="3"/>
        <v>2.6019999999999998E-2</v>
      </c>
      <c r="M71" s="5">
        <f t="shared" si="3"/>
        <v>2.6779999999999998E-2</v>
      </c>
      <c r="N71" s="5">
        <f t="shared" si="3"/>
        <v>2.7539999999999999E-2</v>
      </c>
      <c r="O71" s="5">
        <f t="shared" si="3"/>
        <v>2.8299999999999999E-2</v>
      </c>
    </row>
    <row r="72" spans="2:15" x14ac:dyDescent="0.3">
      <c r="B72" s="4">
        <v>45817</v>
      </c>
      <c r="C72" s="5">
        <v>-2.63E-2</v>
      </c>
      <c r="D72" s="5">
        <v>-1.9199999999999998E-2</v>
      </c>
      <c r="F72" s="5">
        <f t="shared" ref="F72:F135" si="4">F$5*$C72+(1-F$5)*$D72</f>
        <v>-1.9910000000000001E-2</v>
      </c>
      <c r="G72" s="5">
        <f t="shared" si="3"/>
        <v>-2.0619999999999999E-2</v>
      </c>
      <c r="H72" s="5">
        <f t="shared" si="3"/>
        <v>-2.1329999999999998E-2</v>
      </c>
      <c r="I72" s="5">
        <f t="shared" si="3"/>
        <v>-2.2040000000000001E-2</v>
      </c>
      <c r="J72" s="5">
        <f t="shared" si="3"/>
        <v>-2.2749999999999999E-2</v>
      </c>
      <c r="K72" s="5">
        <f t="shared" si="3"/>
        <v>-2.3459999999999998E-2</v>
      </c>
      <c r="L72" s="5">
        <f t="shared" si="3"/>
        <v>-2.4170000000000001E-2</v>
      </c>
      <c r="M72" s="5">
        <f t="shared" si="3"/>
        <v>-2.4880000000000003E-2</v>
      </c>
      <c r="N72" s="5">
        <f t="shared" si="3"/>
        <v>-2.5589999999999998E-2</v>
      </c>
      <c r="O72" s="5">
        <f t="shared" si="3"/>
        <v>-2.63E-2</v>
      </c>
    </row>
    <row r="73" spans="2:15" x14ac:dyDescent="0.3">
      <c r="B73" s="4">
        <v>45818</v>
      </c>
      <c r="C73" s="5">
        <v>-8.2000000000000007E-3</v>
      </c>
      <c r="D73" s="5">
        <v>-4.4999999999999997E-3</v>
      </c>
      <c r="F73" s="5">
        <f t="shared" si="4"/>
        <v>-4.8700000000000002E-3</v>
      </c>
      <c r="G73" s="5">
        <f t="shared" si="3"/>
        <v>-5.2399999999999999E-3</v>
      </c>
      <c r="H73" s="5">
        <f t="shared" si="3"/>
        <v>-5.6099999999999995E-3</v>
      </c>
      <c r="I73" s="5">
        <f t="shared" si="3"/>
        <v>-5.9800000000000001E-3</v>
      </c>
      <c r="J73" s="5">
        <f t="shared" si="3"/>
        <v>-6.3499999999999997E-3</v>
      </c>
      <c r="K73" s="5">
        <f t="shared" si="3"/>
        <v>-6.7200000000000003E-3</v>
      </c>
      <c r="L73" s="5">
        <f t="shared" si="3"/>
        <v>-7.0900000000000008E-3</v>
      </c>
      <c r="M73" s="5">
        <f t="shared" si="3"/>
        <v>-7.4600000000000005E-3</v>
      </c>
      <c r="N73" s="5">
        <f t="shared" si="3"/>
        <v>-7.8300000000000002E-3</v>
      </c>
      <c r="O73" s="5">
        <f t="shared" si="3"/>
        <v>-8.2000000000000007E-3</v>
      </c>
    </row>
    <row r="74" spans="2:15" x14ac:dyDescent="0.3">
      <c r="B74" s="4">
        <v>45819</v>
      </c>
      <c r="C74" s="5">
        <v>-1.5299999999999999E-2</v>
      </c>
      <c r="D74" s="5">
        <v>5.4000000000000003E-3</v>
      </c>
      <c r="F74" s="5">
        <f t="shared" si="4"/>
        <v>3.3300000000000005E-3</v>
      </c>
      <c r="G74" s="5">
        <f t="shared" si="3"/>
        <v>1.2599999999999998E-3</v>
      </c>
      <c r="H74" s="5">
        <f t="shared" si="3"/>
        <v>-8.0999999999999952E-4</v>
      </c>
      <c r="I74" s="5">
        <f t="shared" si="3"/>
        <v>-2.8800000000000002E-3</v>
      </c>
      <c r="J74" s="5">
        <f t="shared" si="3"/>
        <v>-4.9499999999999995E-3</v>
      </c>
      <c r="K74" s="5">
        <f t="shared" si="3"/>
        <v>-7.0199999999999985E-3</v>
      </c>
      <c r="L74" s="5">
        <f t="shared" si="3"/>
        <v>-9.0899999999999991E-3</v>
      </c>
      <c r="M74" s="5">
        <f t="shared" si="3"/>
        <v>-1.1160000000000002E-2</v>
      </c>
      <c r="N74" s="5">
        <f t="shared" si="3"/>
        <v>-1.3229999999999999E-2</v>
      </c>
      <c r="O74" s="5">
        <f t="shared" si="3"/>
        <v>-1.5299999999999999E-2</v>
      </c>
    </row>
    <row r="75" spans="2:15" x14ac:dyDescent="0.3">
      <c r="B75" s="4">
        <v>45820</v>
      </c>
      <c r="C75" s="5">
        <v>1E-4</v>
      </c>
      <c r="D75" s="5">
        <v>-2.1399999999999999E-2</v>
      </c>
      <c r="F75" s="5">
        <f t="shared" si="4"/>
        <v>-1.925E-2</v>
      </c>
      <c r="G75" s="5">
        <f t="shared" si="3"/>
        <v>-1.7100000000000001E-2</v>
      </c>
      <c r="H75" s="5">
        <f t="shared" si="3"/>
        <v>-1.4949999999999998E-2</v>
      </c>
      <c r="I75" s="5">
        <f t="shared" si="3"/>
        <v>-1.2799999999999999E-2</v>
      </c>
      <c r="J75" s="5">
        <f t="shared" si="3"/>
        <v>-1.065E-2</v>
      </c>
      <c r="K75" s="5">
        <f t="shared" si="3"/>
        <v>-8.5000000000000006E-3</v>
      </c>
      <c r="L75" s="5">
        <f t="shared" si="3"/>
        <v>-6.3500000000000006E-3</v>
      </c>
      <c r="M75" s="5">
        <f t="shared" si="3"/>
        <v>-4.1999999999999989E-3</v>
      </c>
      <c r="N75" s="5">
        <f t="shared" si="3"/>
        <v>-2.0499999999999997E-3</v>
      </c>
      <c r="O75" s="5">
        <f t="shared" si="3"/>
        <v>1E-4</v>
      </c>
    </row>
    <row r="76" spans="2:15" x14ac:dyDescent="0.3">
      <c r="B76" s="4">
        <v>45821</v>
      </c>
      <c r="C76" s="5">
        <v>-5.3E-3</v>
      </c>
      <c r="D76" s="5">
        <v>-9.9000000000000008E-3</v>
      </c>
      <c r="F76" s="5">
        <f t="shared" si="4"/>
        <v>-9.4400000000000005E-3</v>
      </c>
      <c r="G76" s="5">
        <f t="shared" si="3"/>
        <v>-8.9800000000000019E-3</v>
      </c>
      <c r="H76" s="5">
        <f t="shared" si="3"/>
        <v>-8.5199999999999998E-3</v>
      </c>
      <c r="I76" s="5">
        <f t="shared" si="3"/>
        <v>-8.0599999999999995E-3</v>
      </c>
      <c r="J76" s="5">
        <f t="shared" si="3"/>
        <v>-7.6000000000000009E-3</v>
      </c>
      <c r="K76" s="5">
        <f t="shared" si="3"/>
        <v>-7.1400000000000005E-3</v>
      </c>
      <c r="L76" s="5">
        <f t="shared" si="3"/>
        <v>-6.6800000000000002E-3</v>
      </c>
      <c r="M76" s="5">
        <f t="shared" si="3"/>
        <v>-6.2199999999999998E-3</v>
      </c>
      <c r="N76" s="5">
        <f t="shared" si="3"/>
        <v>-5.7599999999999995E-3</v>
      </c>
      <c r="O76" s="5">
        <f t="shared" si="3"/>
        <v>-5.3E-3</v>
      </c>
    </row>
    <row r="77" spans="2:15" x14ac:dyDescent="0.3">
      <c r="B77" s="4">
        <v>45824</v>
      </c>
      <c r="C77" s="5">
        <v>1.9099999999999999E-2</v>
      </c>
      <c r="D77" s="5">
        <v>1.23E-2</v>
      </c>
      <c r="F77" s="5">
        <f t="shared" si="4"/>
        <v>1.298E-2</v>
      </c>
      <c r="G77" s="5">
        <f t="shared" si="3"/>
        <v>1.3660000000000002E-2</v>
      </c>
      <c r="H77" s="5">
        <f t="shared" si="3"/>
        <v>1.4339999999999999E-2</v>
      </c>
      <c r="I77" s="5">
        <f t="shared" si="3"/>
        <v>1.5019999999999999E-2</v>
      </c>
      <c r="J77" s="5">
        <f t="shared" si="3"/>
        <v>1.5699999999999999E-2</v>
      </c>
      <c r="K77" s="5">
        <f t="shared" si="3"/>
        <v>1.6379999999999999E-2</v>
      </c>
      <c r="L77" s="5">
        <f t="shared" si="3"/>
        <v>1.7059999999999999E-2</v>
      </c>
      <c r="M77" s="5">
        <f t="shared" si="3"/>
        <v>1.7739999999999999E-2</v>
      </c>
      <c r="N77" s="5">
        <f t="shared" si="3"/>
        <v>1.8419999999999999E-2</v>
      </c>
      <c r="O77" s="5">
        <f t="shared" si="3"/>
        <v>1.9099999999999999E-2</v>
      </c>
    </row>
    <row r="78" spans="2:15" x14ac:dyDescent="0.3">
      <c r="B78" s="4">
        <v>45825</v>
      </c>
      <c r="C78" s="5">
        <v>-1.44E-2</v>
      </c>
      <c r="D78" s="5">
        <v>-1.9400000000000001E-2</v>
      </c>
      <c r="F78" s="5">
        <f t="shared" si="4"/>
        <v>-1.89E-2</v>
      </c>
      <c r="G78" s="5">
        <f t="shared" si="3"/>
        <v>-1.84E-2</v>
      </c>
      <c r="H78" s="5">
        <f t="shared" si="3"/>
        <v>-1.7899999999999999E-2</v>
      </c>
      <c r="I78" s="5">
        <f t="shared" si="3"/>
        <v>-1.7399999999999999E-2</v>
      </c>
      <c r="J78" s="5">
        <f t="shared" si="3"/>
        <v>-1.6899999999999998E-2</v>
      </c>
      <c r="K78" s="5">
        <f t="shared" si="3"/>
        <v>-1.6400000000000001E-2</v>
      </c>
      <c r="L78" s="5">
        <f t="shared" si="3"/>
        <v>-1.5900000000000001E-2</v>
      </c>
      <c r="M78" s="5">
        <f t="shared" si="3"/>
        <v>-1.54E-2</v>
      </c>
      <c r="N78" s="5">
        <f t="shared" si="3"/>
        <v>-1.4899999999999998E-2</v>
      </c>
      <c r="O78" s="5">
        <f t="shared" si="3"/>
        <v>-1.44E-2</v>
      </c>
    </row>
    <row r="79" spans="2:15" x14ac:dyDescent="0.3">
      <c r="B79" s="4">
        <v>45826</v>
      </c>
      <c r="C79" s="5">
        <v>2.7099999999999999E-2</v>
      </c>
      <c r="D79" s="5">
        <v>4.7000000000000002E-3</v>
      </c>
      <c r="F79" s="5">
        <f t="shared" si="4"/>
        <v>6.94E-3</v>
      </c>
      <c r="G79" s="5">
        <f t="shared" si="3"/>
        <v>9.1800000000000007E-3</v>
      </c>
      <c r="H79" s="5">
        <f t="shared" si="3"/>
        <v>1.142E-2</v>
      </c>
      <c r="I79" s="5">
        <f t="shared" si="3"/>
        <v>1.366E-2</v>
      </c>
      <c r="J79" s="5">
        <f t="shared" si="3"/>
        <v>1.5900000000000001E-2</v>
      </c>
      <c r="K79" s="5">
        <f t="shared" si="3"/>
        <v>1.814E-2</v>
      </c>
      <c r="L79" s="5">
        <f t="shared" si="3"/>
        <v>2.0379999999999999E-2</v>
      </c>
      <c r="M79" s="5">
        <f t="shared" si="3"/>
        <v>2.2620000000000001E-2</v>
      </c>
      <c r="N79" s="5">
        <f t="shared" si="3"/>
        <v>2.486E-2</v>
      </c>
      <c r="O79" s="5">
        <f t="shared" si="3"/>
        <v>2.7099999999999999E-2</v>
      </c>
    </row>
    <row r="80" spans="2:15" x14ac:dyDescent="0.3">
      <c r="B80" s="4">
        <v>45827</v>
      </c>
      <c r="C80" s="5">
        <v>2.3900000000000001E-2</v>
      </c>
      <c r="D80" s="5">
        <v>4.1000000000000003E-3</v>
      </c>
      <c r="F80" s="5">
        <f t="shared" si="4"/>
        <v>6.0800000000000003E-3</v>
      </c>
      <c r="G80" s="5">
        <f t="shared" si="3"/>
        <v>8.0600000000000012E-3</v>
      </c>
      <c r="H80" s="5">
        <f t="shared" si="3"/>
        <v>1.004E-2</v>
      </c>
      <c r="I80" s="5">
        <f t="shared" si="3"/>
        <v>1.2020000000000001E-2</v>
      </c>
      <c r="J80" s="5">
        <f t="shared" si="3"/>
        <v>1.4E-2</v>
      </c>
      <c r="K80" s="5">
        <f t="shared" si="3"/>
        <v>1.5980000000000001E-2</v>
      </c>
      <c r="L80" s="5">
        <f t="shared" si="3"/>
        <v>1.7959999999999997E-2</v>
      </c>
      <c r="M80" s="5">
        <f t="shared" si="3"/>
        <v>1.9940000000000003E-2</v>
      </c>
      <c r="N80" s="5">
        <f t="shared" si="3"/>
        <v>2.1920000000000002E-2</v>
      </c>
      <c r="O80" s="5">
        <f t="shared" si="3"/>
        <v>2.3900000000000001E-2</v>
      </c>
    </row>
    <row r="81" spans="2:15" x14ac:dyDescent="0.3">
      <c r="B81" s="4">
        <v>45828</v>
      </c>
      <c r="C81" s="5">
        <v>4.1000000000000002E-2</v>
      </c>
      <c r="D81" s="5">
        <v>1.5699999999999999E-2</v>
      </c>
      <c r="F81" s="5">
        <f t="shared" si="4"/>
        <v>1.823E-2</v>
      </c>
      <c r="G81" s="5">
        <f t="shared" si="3"/>
        <v>2.0760000000000001E-2</v>
      </c>
      <c r="H81" s="5">
        <f t="shared" si="3"/>
        <v>2.3289999999999998E-2</v>
      </c>
      <c r="I81" s="5">
        <f t="shared" si="3"/>
        <v>2.5820000000000003E-2</v>
      </c>
      <c r="J81" s="5">
        <f t="shared" si="3"/>
        <v>2.835E-2</v>
      </c>
      <c r="K81" s="5">
        <f t="shared" si="3"/>
        <v>3.0880000000000001E-2</v>
      </c>
      <c r="L81" s="5">
        <f t="shared" si="3"/>
        <v>3.3410000000000002E-2</v>
      </c>
      <c r="M81" s="5">
        <f t="shared" si="3"/>
        <v>3.594E-2</v>
      </c>
      <c r="N81" s="5">
        <f t="shared" si="3"/>
        <v>3.8470000000000004E-2</v>
      </c>
      <c r="O81" s="5">
        <f t="shared" si="3"/>
        <v>4.1000000000000002E-2</v>
      </c>
    </row>
    <row r="82" spans="2:15" x14ac:dyDescent="0.3">
      <c r="B82" s="4">
        <v>45831</v>
      </c>
      <c r="C82" s="5">
        <v>-1.2999999999999999E-3</v>
      </c>
      <c r="D82" s="5">
        <v>5.1999999999999998E-3</v>
      </c>
      <c r="F82" s="5">
        <f t="shared" si="4"/>
        <v>4.5500000000000002E-3</v>
      </c>
      <c r="G82" s="5">
        <f t="shared" si="3"/>
        <v>3.8999999999999998E-3</v>
      </c>
      <c r="H82" s="5">
        <f t="shared" si="3"/>
        <v>3.2499999999999994E-3</v>
      </c>
      <c r="I82" s="5">
        <f t="shared" si="3"/>
        <v>2.5999999999999999E-3</v>
      </c>
      <c r="J82" s="5">
        <f t="shared" si="3"/>
        <v>1.9499999999999999E-3</v>
      </c>
      <c r="K82" s="5">
        <f t="shared" si="3"/>
        <v>1.2999999999999999E-3</v>
      </c>
      <c r="L82" s="5">
        <f t="shared" si="3"/>
        <v>6.500000000000003E-4</v>
      </c>
      <c r="M82" s="5">
        <f t="shared" si="3"/>
        <v>0</v>
      </c>
      <c r="N82" s="5">
        <f t="shared" si="3"/>
        <v>-6.5000000000000019E-4</v>
      </c>
      <c r="O82" s="5">
        <f t="shared" si="3"/>
        <v>-1.2999999999999999E-3</v>
      </c>
    </row>
    <row r="83" spans="2:15" x14ac:dyDescent="0.3">
      <c r="B83" s="4">
        <v>45832</v>
      </c>
      <c r="C83" s="5">
        <v>5.4999999999999997E-3</v>
      </c>
      <c r="D83" s="5">
        <v>1.6999999999999999E-3</v>
      </c>
      <c r="F83" s="5">
        <f t="shared" si="4"/>
        <v>2.0799999999999998E-3</v>
      </c>
      <c r="G83" s="5">
        <f t="shared" si="3"/>
        <v>2.4600000000000004E-3</v>
      </c>
      <c r="H83" s="5">
        <f t="shared" si="3"/>
        <v>2.8399999999999996E-3</v>
      </c>
      <c r="I83" s="5">
        <f t="shared" si="3"/>
        <v>3.2199999999999998E-3</v>
      </c>
      <c r="J83" s="5">
        <f t="shared" si="3"/>
        <v>3.5999999999999999E-3</v>
      </c>
      <c r="K83" s="5">
        <f t="shared" si="3"/>
        <v>3.9799999999999992E-3</v>
      </c>
      <c r="L83" s="5">
        <f t="shared" si="3"/>
        <v>4.3599999999999993E-3</v>
      </c>
      <c r="M83" s="5">
        <f t="shared" si="3"/>
        <v>4.7400000000000003E-3</v>
      </c>
      <c r="N83" s="5">
        <f t="shared" si="3"/>
        <v>5.1199999999999996E-3</v>
      </c>
      <c r="O83" s="5">
        <f t="shared" si="3"/>
        <v>5.4999999999999997E-3</v>
      </c>
    </row>
    <row r="84" spans="2:15" x14ac:dyDescent="0.3">
      <c r="B84" s="4">
        <v>45833</v>
      </c>
      <c r="C84" s="5">
        <v>2.2499999999999999E-2</v>
      </c>
      <c r="D84" s="5">
        <v>1.49E-2</v>
      </c>
      <c r="F84" s="5">
        <f t="shared" si="4"/>
        <v>1.566E-2</v>
      </c>
      <c r="G84" s="5">
        <f t="shared" si="3"/>
        <v>1.6420000000000001E-2</v>
      </c>
      <c r="H84" s="5">
        <f t="shared" si="3"/>
        <v>1.7180000000000001E-2</v>
      </c>
      <c r="I84" s="5">
        <f t="shared" si="3"/>
        <v>1.7939999999999998E-2</v>
      </c>
      <c r="J84" s="5">
        <f t="shared" si="3"/>
        <v>1.8700000000000001E-2</v>
      </c>
      <c r="K84" s="5">
        <f t="shared" si="3"/>
        <v>1.9459999999999998E-2</v>
      </c>
      <c r="L84" s="5">
        <f t="shared" si="3"/>
        <v>2.0220000000000002E-2</v>
      </c>
      <c r="M84" s="5">
        <f t="shared" si="3"/>
        <v>2.0979999999999999E-2</v>
      </c>
      <c r="N84" s="5">
        <f t="shared" si="3"/>
        <v>2.1739999999999999E-2</v>
      </c>
      <c r="O84" s="5">
        <f t="shared" si="3"/>
        <v>2.2499999999999999E-2</v>
      </c>
    </row>
    <row r="85" spans="2:15" x14ac:dyDescent="0.3">
      <c r="B85" s="4">
        <v>45834</v>
      </c>
      <c r="C85" s="5">
        <v>1.3299999999999999E-2</v>
      </c>
      <c r="D85" s="5">
        <v>2.4400000000000002E-2</v>
      </c>
      <c r="F85" s="5">
        <f t="shared" si="4"/>
        <v>2.3290000000000002E-2</v>
      </c>
      <c r="G85" s="5">
        <f t="shared" si="3"/>
        <v>2.2180000000000002E-2</v>
      </c>
      <c r="H85" s="5">
        <f t="shared" si="3"/>
        <v>2.1070000000000002E-2</v>
      </c>
      <c r="I85" s="5">
        <f t="shared" si="3"/>
        <v>1.9959999999999999E-2</v>
      </c>
      <c r="J85" s="5">
        <f t="shared" si="3"/>
        <v>1.8849999999999999E-2</v>
      </c>
      <c r="K85" s="5">
        <f t="shared" si="3"/>
        <v>1.7739999999999999E-2</v>
      </c>
      <c r="L85" s="5">
        <f t="shared" si="3"/>
        <v>1.6629999999999999E-2</v>
      </c>
      <c r="M85" s="5">
        <f t="shared" si="3"/>
        <v>1.5519999999999999E-2</v>
      </c>
      <c r="N85" s="5">
        <f t="shared" si="3"/>
        <v>1.4409999999999999E-2</v>
      </c>
      <c r="O85" s="5">
        <f t="shared" si="3"/>
        <v>1.3299999999999999E-2</v>
      </c>
    </row>
    <row r="86" spans="2:15" x14ac:dyDescent="0.3">
      <c r="B86" s="4">
        <v>45835</v>
      </c>
      <c r="C86" s="5">
        <v>4.1999999999999997E-3</v>
      </c>
      <c r="D86" s="5">
        <v>-1.2500000000000001E-2</v>
      </c>
      <c r="F86" s="5">
        <f t="shared" si="4"/>
        <v>-1.0830000000000001E-2</v>
      </c>
      <c r="G86" s="5">
        <f t="shared" si="3"/>
        <v>-9.1600000000000015E-3</v>
      </c>
      <c r="H86" s="5">
        <f t="shared" si="3"/>
        <v>-7.4899999999999993E-3</v>
      </c>
      <c r="I86" s="5">
        <f t="shared" si="3"/>
        <v>-5.8199999999999997E-3</v>
      </c>
      <c r="J86" s="5">
        <f t="shared" si="3"/>
        <v>-4.1500000000000009E-3</v>
      </c>
      <c r="K86" s="5">
        <f t="shared" si="3"/>
        <v>-2.4800000000000013E-3</v>
      </c>
      <c r="L86" s="5">
        <f t="shared" si="3"/>
        <v>-8.1000000000000126E-4</v>
      </c>
      <c r="M86" s="5">
        <f t="shared" si="3"/>
        <v>8.6000000000000052E-4</v>
      </c>
      <c r="N86" s="5">
        <f t="shared" si="3"/>
        <v>2.5300000000000001E-3</v>
      </c>
      <c r="O86" s="5">
        <f t="shared" si="3"/>
        <v>4.1999999999999997E-3</v>
      </c>
    </row>
    <row r="87" spans="2:15" x14ac:dyDescent="0.3">
      <c r="B87" s="4">
        <v>45838</v>
      </c>
      <c r="C87" s="5">
        <v>-1.61E-2</v>
      </c>
      <c r="D87" s="5">
        <v>8.6999999999999994E-3</v>
      </c>
      <c r="F87" s="5">
        <f t="shared" si="4"/>
        <v>6.2199999999999998E-3</v>
      </c>
      <c r="G87" s="5">
        <f t="shared" si="3"/>
        <v>3.7399999999999998E-3</v>
      </c>
      <c r="H87" s="5">
        <f t="shared" si="3"/>
        <v>1.259999999999999E-3</v>
      </c>
      <c r="I87" s="5">
        <f t="shared" si="3"/>
        <v>-1.2200000000000006E-3</v>
      </c>
      <c r="J87" s="5">
        <f t="shared" si="3"/>
        <v>-3.7000000000000002E-3</v>
      </c>
      <c r="K87" s="5">
        <f t="shared" si="3"/>
        <v>-6.1799999999999997E-3</v>
      </c>
      <c r="L87" s="5">
        <f t="shared" si="3"/>
        <v>-8.6599999999999976E-3</v>
      </c>
      <c r="M87" s="5">
        <f t="shared" si="3"/>
        <v>-1.1140000000000001E-2</v>
      </c>
      <c r="N87" s="5">
        <f t="shared" si="3"/>
        <v>-1.362E-2</v>
      </c>
      <c r="O87" s="5">
        <f t="shared" si="3"/>
        <v>-1.61E-2</v>
      </c>
    </row>
    <row r="88" spans="2:15" x14ac:dyDescent="0.3">
      <c r="B88" s="4">
        <v>45839</v>
      </c>
      <c r="C88" s="5">
        <v>-1.7399999999999999E-2</v>
      </c>
      <c r="D88" s="5">
        <v>-1.1900000000000001E-2</v>
      </c>
      <c r="F88" s="5">
        <f t="shared" si="4"/>
        <v>-1.2450000000000001E-2</v>
      </c>
      <c r="G88" s="5">
        <f t="shared" si="3"/>
        <v>-1.3000000000000001E-2</v>
      </c>
      <c r="H88" s="5">
        <f t="shared" si="3"/>
        <v>-1.355E-2</v>
      </c>
      <c r="I88" s="5">
        <f t="shared" si="3"/>
        <v>-1.4100000000000001E-2</v>
      </c>
      <c r="J88" s="5">
        <f t="shared" si="3"/>
        <v>-1.465E-2</v>
      </c>
      <c r="K88" s="5">
        <f t="shared" si="3"/>
        <v>-1.52E-2</v>
      </c>
      <c r="L88" s="5">
        <f t="shared" si="3"/>
        <v>-1.575E-2</v>
      </c>
      <c r="M88" s="5">
        <f t="shared" si="3"/>
        <v>-1.6299999999999999E-2</v>
      </c>
      <c r="N88" s="5">
        <f t="shared" si="3"/>
        <v>-1.685E-2</v>
      </c>
      <c r="O88" s="5">
        <f t="shared" si="3"/>
        <v>-1.7399999999999999E-2</v>
      </c>
    </row>
    <row r="89" spans="2:15" x14ac:dyDescent="0.3">
      <c r="B89" s="4">
        <v>45840</v>
      </c>
      <c r="C89" s="5">
        <v>-3.0200000000000001E-2</v>
      </c>
      <c r="D89" s="5">
        <v>-4.7999999999999996E-3</v>
      </c>
      <c r="F89" s="5">
        <f t="shared" si="4"/>
        <v>-7.3400000000000002E-3</v>
      </c>
      <c r="G89" s="5">
        <f t="shared" si="3"/>
        <v>-9.8799999999999999E-3</v>
      </c>
      <c r="H89" s="5">
        <f t="shared" si="3"/>
        <v>-1.242E-2</v>
      </c>
      <c r="I89" s="5">
        <f t="shared" si="3"/>
        <v>-1.4960000000000001E-2</v>
      </c>
      <c r="J89" s="5">
        <f t="shared" si="3"/>
        <v>-1.7500000000000002E-2</v>
      </c>
      <c r="K89" s="5">
        <f t="shared" si="3"/>
        <v>-2.0040000000000002E-2</v>
      </c>
      <c r="L89" s="5">
        <f t="shared" si="3"/>
        <v>-2.2579999999999999E-2</v>
      </c>
      <c r="M89" s="5">
        <f t="shared" si="3"/>
        <v>-2.512E-2</v>
      </c>
      <c r="N89" s="5">
        <f t="shared" si="3"/>
        <v>-2.7660000000000004E-2</v>
      </c>
      <c r="O89" s="5">
        <f t="shared" si="3"/>
        <v>-3.0200000000000001E-2</v>
      </c>
    </row>
    <row r="90" spans="2:15" x14ac:dyDescent="0.3">
      <c r="B90" s="4">
        <v>45841</v>
      </c>
      <c r="C90" s="5">
        <v>1.17E-2</v>
      </c>
      <c r="D90" s="5">
        <v>4.1999999999999997E-3</v>
      </c>
      <c r="F90" s="5">
        <f t="shared" si="4"/>
        <v>4.9499999999999995E-3</v>
      </c>
      <c r="G90" s="5">
        <f t="shared" si="3"/>
        <v>5.7000000000000002E-3</v>
      </c>
      <c r="H90" s="5">
        <f t="shared" si="3"/>
        <v>6.4499999999999991E-3</v>
      </c>
      <c r="I90" s="5">
        <f t="shared" si="3"/>
        <v>7.1999999999999998E-3</v>
      </c>
      <c r="J90" s="5">
        <f t="shared" si="3"/>
        <v>7.9500000000000005E-3</v>
      </c>
      <c r="K90" s="5">
        <f t="shared" si="3"/>
        <v>8.6999999999999994E-3</v>
      </c>
      <c r="L90" s="5">
        <f t="shared" si="3"/>
        <v>9.4500000000000001E-3</v>
      </c>
      <c r="M90" s="5">
        <f t="shared" si="3"/>
        <v>1.0200000000000001E-2</v>
      </c>
      <c r="N90" s="5">
        <f t="shared" si="3"/>
        <v>1.0950000000000001E-2</v>
      </c>
      <c r="O90" s="5">
        <f t="shared" si="3"/>
        <v>1.17E-2</v>
      </c>
    </row>
    <row r="91" spans="2:15" x14ac:dyDescent="0.3">
      <c r="B91" s="4">
        <v>45842</v>
      </c>
      <c r="C91" s="5">
        <v>-6.4999999999999997E-3</v>
      </c>
      <c r="D91" s="5">
        <v>2.0999999999999999E-3</v>
      </c>
      <c r="F91" s="5">
        <f t="shared" si="4"/>
        <v>1.24E-3</v>
      </c>
      <c r="G91" s="5">
        <f t="shared" si="3"/>
        <v>3.8000000000000013E-4</v>
      </c>
      <c r="H91" s="5">
        <f t="shared" si="3"/>
        <v>-4.8000000000000017E-4</v>
      </c>
      <c r="I91" s="5">
        <f t="shared" si="3"/>
        <v>-1.34E-3</v>
      </c>
      <c r="J91" s="5">
        <f t="shared" si="3"/>
        <v>-2.1999999999999997E-3</v>
      </c>
      <c r="K91" s="5">
        <f t="shared" si="3"/>
        <v>-3.0599999999999998E-3</v>
      </c>
      <c r="L91" s="5">
        <f t="shared" si="3"/>
        <v>-3.919999999999999E-3</v>
      </c>
      <c r="M91" s="5">
        <f t="shared" si="3"/>
        <v>-4.7799999999999995E-3</v>
      </c>
      <c r="N91" s="5">
        <f t="shared" si="3"/>
        <v>-5.64E-3</v>
      </c>
      <c r="O91" s="5">
        <f t="shared" si="3"/>
        <v>-6.4999999999999997E-3</v>
      </c>
    </row>
    <row r="92" spans="2:15" x14ac:dyDescent="0.3">
      <c r="B92" s="4">
        <v>45845</v>
      </c>
      <c r="C92" s="5">
        <v>-1.7899999999999999E-2</v>
      </c>
      <c r="D92" s="5">
        <v>-1.09E-2</v>
      </c>
      <c r="F92" s="5">
        <f t="shared" si="4"/>
        <v>-1.1600000000000001E-2</v>
      </c>
      <c r="G92" s="5">
        <f t="shared" si="3"/>
        <v>-1.23E-2</v>
      </c>
      <c r="H92" s="5">
        <f t="shared" si="3"/>
        <v>-1.2999999999999999E-2</v>
      </c>
      <c r="I92" s="5">
        <f t="shared" si="3"/>
        <v>-1.37E-2</v>
      </c>
      <c r="J92" s="5">
        <f t="shared" si="3"/>
        <v>-1.44E-2</v>
      </c>
      <c r="K92" s="5">
        <f t="shared" si="3"/>
        <v>-1.5099999999999999E-2</v>
      </c>
      <c r="L92" s="5">
        <f t="shared" si="3"/>
        <v>-1.5800000000000002E-2</v>
      </c>
      <c r="M92" s="5">
        <f t="shared" si="3"/>
        <v>-1.6500000000000001E-2</v>
      </c>
      <c r="N92" s="5">
        <f t="shared" si="3"/>
        <v>-1.72E-2</v>
      </c>
      <c r="O92" s="5">
        <f t="shared" si="3"/>
        <v>-1.7899999999999999E-2</v>
      </c>
    </row>
    <row r="93" spans="2:15" x14ac:dyDescent="0.3">
      <c r="B93" s="4">
        <v>45846</v>
      </c>
      <c r="C93" s="5">
        <v>1.2699999999999999E-2</v>
      </c>
      <c r="D93" s="5">
        <v>1.9099999999999999E-2</v>
      </c>
      <c r="F93" s="5">
        <f t="shared" si="4"/>
        <v>1.8460000000000001E-2</v>
      </c>
      <c r="G93" s="5">
        <f t="shared" si="3"/>
        <v>1.7819999999999999E-2</v>
      </c>
      <c r="H93" s="5">
        <f t="shared" si="3"/>
        <v>1.7179999999999997E-2</v>
      </c>
      <c r="I93" s="5">
        <f t="shared" si="3"/>
        <v>1.6539999999999999E-2</v>
      </c>
      <c r="J93" s="5">
        <f t="shared" si="3"/>
        <v>1.5899999999999997E-2</v>
      </c>
      <c r="K93" s="5">
        <f t="shared" si="3"/>
        <v>1.5259999999999999E-2</v>
      </c>
      <c r="L93" s="5">
        <f t="shared" si="3"/>
        <v>1.4619999999999999E-2</v>
      </c>
      <c r="M93" s="5">
        <f t="shared" si="3"/>
        <v>1.3979999999999999E-2</v>
      </c>
      <c r="N93" s="5">
        <f t="shared" si="3"/>
        <v>1.3339999999999998E-2</v>
      </c>
      <c r="O93" s="5">
        <f t="shared" si="3"/>
        <v>1.2699999999999999E-2</v>
      </c>
    </row>
    <row r="94" spans="2:15" x14ac:dyDescent="0.3">
      <c r="B94" s="4">
        <v>45847</v>
      </c>
      <c r="C94" s="5">
        <v>-3.3999999999999998E-3</v>
      </c>
      <c r="D94" s="5">
        <v>4.0000000000000001E-3</v>
      </c>
      <c r="F94" s="5">
        <f t="shared" si="4"/>
        <v>3.2600000000000003E-3</v>
      </c>
      <c r="G94" s="5">
        <f t="shared" si="3"/>
        <v>2.5200000000000001E-3</v>
      </c>
      <c r="H94" s="5">
        <f t="shared" si="3"/>
        <v>1.7800000000000001E-3</v>
      </c>
      <c r="I94" s="5">
        <f t="shared" si="3"/>
        <v>1.0399999999999997E-3</v>
      </c>
      <c r="J94" s="5">
        <f t="shared" si="3"/>
        <v>3.0000000000000014E-4</v>
      </c>
      <c r="K94" s="5">
        <f t="shared" si="3"/>
        <v>-4.3999999999999964E-4</v>
      </c>
      <c r="L94" s="5">
        <f t="shared" si="3"/>
        <v>-1.1799999999999996E-3</v>
      </c>
      <c r="M94" s="5">
        <f t="shared" si="3"/>
        <v>-1.9200000000000003E-3</v>
      </c>
      <c r="N94" s="5">
        <f t="shared" si="3"/>
        <v>-2.66E-3</v>
      </c>
      <c r="O94" s="5">
        <f t="shared" si="3"/>
        <v>-3.3999999999999998E-3</v>
      </c>
    </row>
    <row r="95" spans="2:15" x14ac:dyDescent="0.3">
      <c r="B95" s="4">
        <v>45848</v>
      </c>
      <c r="C95" s="5">
        <v>1.0999999999999999E-2</v>
      </c>
      <c r="D95" s="5">
        <v>-6.4000000000000003E-3</v>
      </c>
      <c r="F95" s="5">
        <f t="shared" si="4"/>
        <v>-4.6600000000000001E-3</v>
      </c>
      <c r="G95" s="5">
        <f t="shared" si="3"/>
        <v>-2.9200000000000003E-3</v>
      </c>
      <c r="H95" s="5">
        <f t="shared" si="3"/>
        <v>-1.1800000000000001E-3</v>
      </c>
      <c r="I95" s="5">
        <f t="shared" si="3"/>
        <v>5.6000000000000017E-4</v>
      </c>
      <c r="J95" s="5">
        <f t="shared" si="3"/>
        <v>2.2999999999999995E-3</v>
      </c>
      <c r="K95" s="5">
        <f t="shared" si="3"/>
        <v>4.0399999999999985E-3</v>
      </c>
      <c r="L95" s="5">
        <f t="shared" si="3"/>
        <v>5.7799999999999987E-3</v>
      </c>
      <c r="M95" s="5">
        <f t="shared" si="3"/>
        <v>7.5200000000000006E-3</v>
      </c>
      <c r="N95" s="5">
        <f t="shared" si="3"/>
        <v>9.2599999999999991E-3</v>
      </c>
      <c r="O95" s="5">
        <f t="shared" si="3"/>
        <v>1.0999999999999999E-2</v>
      </c>
    </row>
    <row r="96" spans="2:15" x14ac:dyDescent="0.3">
      <c r="B96" s="4">
        <v>45849</v>
      </c>
      <c r="C96" s="5">
        <v>2E-3</v>
      </c>
      <c r="D96" s="5">
        <v>1.9E-3</v>
      </c>
      <c r="F96" s="5">
        <f t="shared" si="4"/>
        <v>1.91E-3</v>
      </c>
      <c r="G96" s="5">
        <f t="shared" si="3"/>
        <v>1.92E-3</v>
      </c>
      <c r="H96" s="5">
        <f t="shared" si="3"/>
        <v>1.9299999999999999E-3</v>
      </c>
      <c r="I96" s="5">
        <f t="shared" si="3"/>
        <v>1.9399999999999999E-3</v>
      </c>
      <c r="J96" s="5">
        <f t="shared" si="3"/>
        <v>1.9499999999999999E-3</v>
      </c>
      <c r="K96" s="5">
        <f t="shared" si="3"/>
        <v>1.9599999999999999E-3</v>
      </c>
      <c r="L96" s="5">
        <f t="shared" si="3"/>
        <v>1.97E-3</v>
      </c>
      <c r="M96" s="5">
        <f t="shared" si="3"/>
        <v>1.98E-3</v>
      </c>
      <c r="N96" s="5">
        <f t="shared" si="3"/>
        <v>1.99E-3</v>
      </c>
      <c r="O96" s="5">
        <f t="shared" si="3"/>
        <v>2E-3</v>
      </c>
    </row>
    <row r="97" spans="2:15" x14ac:dyDescent="0.3">
      <c r="B97" s="4">
        <v>45852</v>
      </c>
      <c r="C97" s="5">
        <v>2.06E-2</v>
      </c>
      <c r="D97" s="5">
        <v>2.75E-2</v>
      </c>
      <c r="F97" s="5">
        <f t="shared" si="4"/>
        <v>2.681E-2</v>
      </c>
      <c r="G97" s="5">
        <f t="shared" si="3"/>
        <v>2.6120000000000004E-2</v>
      </c>
      <c r="H97" s="5">
        <f t="shared" si="3"/>
        <v>2.5430000000000001E-2</v>
      </c>
      <c r="I97" s="5">
        <f t="shared" si="3"/>
        <v>2.4740000000000002E-2</v>
      </c>
      <c r="J97" s="5">
        <f t="shared" si="3"/>
        <v>2.4050000000000002E-2</v>
      </c>
      <c r="K97" s="5">
        <f t="shared" si="3"/>
        <v>2.3359999999999999E-2</v>
      </c>
      <c r="L97" s="5">
        <f t="shared" si="3"/>
        <v>2.2670000000000003E-2</v>
      </c>
      <c r="M97" s="5">
        <f t="shared" si="3"/>
        <v>2.198E-2</v>
      </c>
      <c r="N97" s="5">
        <f t="shared" si="3"/>
        <v>2.129E-2</v>
      </c>
      <c r="O97" s="5">
        <f t="shared" si="3"/>
        <v>2.06E-2</v>
      </c>
    </row>
    <row r="98" spans="2:15" x14ac:dyDescent="0.3">
      <c r="B98" s="4">
        <v>45853</v>
      </c>
      <c r="C98" s="5">
        <v>-1.17E-2</v>
      </c>
      <c r="D98" s="5">
        <v>-1.5299999999999999E-2</v>
      </c>
      <c r="F98" s="5">
        <f t="shared" si="4"/>
        <v>-1.4939999999999998E-2</v>
      </c>
      <c r="G98" s="5">
        <f t="shared" si="3"/>
        <v>-1.4580000000000001E-2</v>
      </c>
      <c r="H98" s="5">
        <f t="shared" si="3"/>
        <v>-1.422E-2</v>
      </c>
      <c r="I98" s="5">
        <f t="shared" si="3"/>
        <v>-1.3859999999999999E-2</v>
      </c>
      <c r="J98" s="5">
        <f t="shared" si="3"/>
        <v>-1.35E-2</v>
      </c>
      <c r="K98" s="5">
        <f t="shared" si="3"/>
        <v>-1.3140000000000001E-2</v>
      </c>
      <c r="L98" s="5">
        <f t="shared" si="3"/>
        <v>-1.278E-2</v>
      </c>
      <c r="M98" s="5">
        <f t="shared" si="3"/>
        <v>-1.242E-2</v>
      </c>
      <c r="N98" s="5">
        <f t="shared" si="3"/>
        <v>-1.2060000000000001E-2</v>
      </c>
      <c r="O98" s="5">
        <f t="shared" si="3"/>
        <v>-1.17E-2</v>
      </c>
    </row>
    <row r="99" spans="2:15" x14ac:dyDescent="0.3">
      <c r="B99" s="4">
        <v>45854</v>
      </c>
      <c r="C99" s="5">
        <v>3.5999999999999999E-3</v>
      </c>
      <c r="D99" s="5">
        <v>-1.54E-2</v>
      </c>
      <c r="F99" s="5">
        <f t="shared" si="4"/>
        <v>-1.3500000000000002E-2</v>
      </c>
      <c r="G99" s="5">
        <f t="shared" si="3"/>
        <v>-1.1600000000000001E-2</v>
      </c>
      <c r="H99" s="5">
        <f t="shared" si="3"/>
        <v>-9.7000000000000003E-3</v>
      </c>
      <c r="I99" s="5">
        <f t="shared" si="3"/>
        <v>-7.7999999999999996E-3</v>
      </c>
      <c r="J99" s="5">
        <f t="shared" si="3"/>
        <v>-5.9000000000000007E-3</v>
      </c>
      <c r="K99" s="5">
        <f t="shared" si="3"/>
        <v>-4.0000000000000001E-3</v>
      </c>
      <c r="L99" s="5">
        <f t="shared" si="3"/>
        <v>-2.1000000000000012E-3</v>
      </c>
      <c r="M99" s="5">
        <f t="shared" si="3"/>
        <v>-1.9999999999999922E-4</v>
      </c>
      <c r="N99" s="5">
        <f t="shared" ref="G99:O128" si="5">N$5*$C99+(1-N$5)*$D99</f>
        <v>1.7000000000000001E-3</v>
      </c>
      <c r="O99" s="5">
        <f t="shared" si="5"/>
        <v>3.5999999999999999E-3</v>
      </c>
    </row>
    <row r="100" spans="2:15" x14ac:dyDescent="0.3">
      <c r="B100" s="4">
        <v>45855</v>
      </c>
      <c r="C100" s="5">
        <v>-1.0800000000000001E-2</v>
      </c>
      <c r="D100" s="5">
        <v>-1.03E-2</v>
      </c>
      <c r="F100" s="5">
        <f t="shared" si="4"/>
        <v>-1.035E-2</v>
      </c>
      <c r="G100" s="5">
        <f t="shared" si="5"/>
        <v>-1.0400000000000001E-2</v>
      </c>
      <c r="H100" s="5">
        <f t="shared" si="5"/>
        <v>-1.0449999999999999E-2</v>
      </c>
      <c r="I100" s="5">
        <f t="shared" si="5"/>
        <v>-1.0499999999999999E-2</v>
      </c>
      <c r="J100" s="5">
        <f t="shared" si="5"/>
        <v>-1.055E-2</v>
      </c>
      <c r="K100" s="5">
        <f t="shared" si="5"/>
        <v>-1.0600000000000002E-2</v>
      </c>
      <c r="L100" s="5">
        <f t="shared" si="5"/>
        <v>-1.065E-2</v>
      </c>
      <c r="M100" s="5">
        <f t="shared" si="5"/>
        <v>-1.0699999999999999E-2</v>
      </c>
      <c r="N100" s="5">
        <f t="shared" si="5"/>
        <v>-1.0750000000000001E-2</v>
      </c>
      <c r="O100" s="5">
        <f t="shared" si="5"/>
        <v>-1.0800000000000001E-2</v>
      </c>
    </row>
    <row r="101" spans="2:15" x14ac:dyDescent="0.3">
      <c r="B101" s="4">
        <v>45856</v>
      </c>
      <c r="C101" s="5">
        <v>8.2000000000000007E-3</v>
      </c>
      <c r="D101" s="5">
        <v>-9.4000000000000004E-3</v>
      </c>
      <c r="F101" s="5">
        <f t="shared" si="4"/>
        <v>-7.6400000000000001E-3</v>
      </c>
      <c r="G101" s="5">
        <f t="shared" si="5"/>
        <v>-5.8800000000000007E-3</v>
      </c>
      <c r="H101" s="5">
        <f t="shared" si="5"/>
        <v>-4.1200000000000004E-3</v>
      </c>
      <c r="I101" s="5">
        <f t="shared" si="5"/>
        <v>-2.3599999999999997E-3</v>
      </c>
      <c r="J101" s="5">
        <f t="shared" si="5"/>
        <v>-5.9999999999999984E-4</v>
      </c>
      <c r="K101" s="5">
        <f t="shared" si="5"/>
        <v>1.1599999999999996E-3</v>
      </c>
      <c r="L101" s="5">
        <f t="shared" si="5"/>
        <v>2.9199999999999999E-3</v>
      </c>
      <c r="M101" s="5">
        <f t="shared" si="5"/>
        <v>4.680000000000001E-3</v>
      </c>
      <c r="N101" s="5">
        <f t="shared" si="5"/>
        <v>6.4400000000000013E-3</v>
      </c>
      <c r="O101" s="5">
        <f t="shared" si="5"/>
        <v>8.2000000000000007E-3</v>
      </c>
    </row>
    <row r="102" spans="2:15" x14ac:dyDescent="0.3">
      <c r="B102" s="4">
        <v>45859</v>
      </c>
      <c r="C102" s="5">
        <v>1.5299999999999999E-2</v>
      </c>
      <c r="D102" s="5">
        <v>5.6399999999999999E-2</v>
      </c>
      <c r="F102" s="5">
        <f t="shared" si="4"/>
        <v>5.2290000000000003E-2</v>
      </c>
      <c r="G102" s="5">
        <f t="shared" si="5"/>
        <v>4.8180000000000001E-2</v>
      </c>
      <c r="H102" s="5">
        <f t="shared" si="5"/>
        <v>4.4069999999999991E-2</v>
      </c>
      <c r="I102" s="5">
        <f t="shared" si="5"/>
        <v>3.9959999999999996E-2</v>
      </c>
      <c r="J102" s="5">
        <f t="shared" si="5"/>
        <v>3.585E-2</v>
      </c>
      <c r="K102" s="5">
        <f t="shared" si="5"/>
        <v>3.1739999999999997E-2</v>
      </c>
      <c r="L102" s="5">
        <f t="shared" si="5"/>
        <v>2.7630000000000002E-2</v>
      </c>
      <c r="M102" s="5">
        <f t="shared" si="5"/>
        <v>2.3519999999999999E-2</v>
      </c>
      <c r="N102" s="5">
        <f t="shared" si="5"/>
        <v>1.9409999999999997E-2</v>
      </c>
      <c r="O102" s="5">
        <f t="shared" si="5"/>
        <v>1.5299999999999999E-2</v>
      </c>
    </row>
    <row r="103" spans="2:15" x14ac:dyDescent="0.3">
      <c r="B103" s="4">
        <v>45860</v>
      </c>
      <c r="C103" s="5">
        <v>5.67E-2</v>
      </c>
      <c r="D103" s="5">
        <v>0.10340000000000001</v>
      </c>
      <c r="F103" s="5">
        <f t="shared" si="4"/>
        <v>9.8729999999999998E-2</v>
      </c>
      <c r="G103" s="5">
        <f t="shared" si="5"/>
        <v>9.4060000000000019E-2</v>
      </c>
      <c r="H103" s="5">
        <f t="shared" si="5"/>
        <v>8.9389999999999997E-2</v>
      </c>
      <c r="I103" s="5">
        <f t="shared" si="5"/>
        <v>8.4720000000000004E-2</v>
      </c>
      <c r="J103" s="5">
        <f t="shared" si="5"/>
        <v>8.005000000000001E-2</v>
      </c>
      <c r="K103" s="5">
        <f t="shared" si="5"/>
        <v>7.5380000000000003E-2</v>
      </c>
      <c r="L103" s="5">
        <f t="shared" si="5"/>
        <v>7.0709999999999995E-2</v>
      </c>
      <c r="M103" s="5">
        <f t="shared" si="5"/>
        <v>6.6040000000000001E-2</v>
      </c>
      <c r="N103" s="5">
        <f t="shared" si="5"/>
        <v>6.1369999999999994E-2</v>
      </c>
      <c r="O103" s="5">
        <f t="shared" si="5"/>
        <v>5.67E-2</v>
      </c>
    </row>
    <row r="104" spans="2:15" x14ac:dyDescent="0.3">
      <c r="B104" s="4">
        <v>45861</v>
      </c>
      <c r="C104" s="5">
        <v>3.7000000000000002E-3</v>
      </c>
      <c r="D104" s="5">
        <v>7.4999999999999997E-3</v>
      </c>
      <c r="F104" s="5">
        <f t="shared" si="4"/>
        <v>7.1199999999999996E-3</v>
      </c>
      <c r="G104" s="5">
        <f t="shared" si="5"/>
        <v>6.7400000000000003E-3</v>
      </c>
      <c r="H104" s="5">
        <f t="shared" si="5"/>
        <v>6.3599999999999993E-3</v>
      </c>
      <c r="I104" s="5">
        <f t="shared" si="5"/>
        <v>5.9800000000000001E-3</v>
      </c>
      <c r="J104" s="5">
        <f t="shared" si="5"/>
        <v>5.5999999999999999E-3</v>
      </c>
      <c r="K104" s="5">
        <f t="shared" si="5"/>
        <v>5.2200000000000007E-3</v>
      </c>
      <c r="L104" s="5">
        <f t="shared" si="5"/>
        <v>4.8400000000000006E-3</v>
      </c>
      <c r="M104" s="5">
        <f t="shared" si="5"/>
        <v>4.4600000000000004E-3</v>
      </c>
      <c r="N104" s="5">
        <f t="shared" si="5"/>
        <v>4.0800000000000003E-3</v>
      </c>
      <c r="O104" s="5">
        <f t="shared" si="5"/>
        <v>3.7000000000000002E-3</v>
      </c>
    </row>
    <row r="105" spans="2:15" x14ac:dyDescent="0.3">
      <c r="B105" s="4">
        <v>45862</v>
      </c>
      <c r="C105" s="5">
        <v>1.2999999999999999E-3</v>
      </c>
      <c r="D105" s="5">
        <v>3.6700000000000003E-2</v>
      </c>
      <c r="F105" s="5">
        <f t="shared" si="4"/>
        <v>3.3160000000000002E-2</v>
      </c>
      <c r="G105" s="5">
        <f t="shared" si="5"/>
        <v>2.9620000000000004E-2</v>
      </c>
      <c r="H105" s="5">
        <f t="shared" si="5"/>
        <v>2.6080000000000002E-2</v>
      </c>
      <c r="I105" s="5">
        <f t="shared" si="5"/>
        <v>2.2540000000000001E-2</v>
      </c>
      <c r="J105" s="5">
        <f t="shared" si="5"/>
        <v>1.9000000000000003E-2</v>
      </c>
      <c r="K105" s="5">
        <f t="shared" si="5"/>
        <v>1.5460000000000002E-2</v>
      </c>
      <c r="L105" s="5">
        <f t="shared" si="5"/>
        <v>1.1920000000000002E-2</v>
      </c>
      <c r="M105" s="5">
        <f t="shared" si="5"/>
        <v>8.3799999999999986E-3</v>
      </c>
      <c r="N105" s="5">
        <f t="shared" si="5"/>
        <v>4.8399999999999997E-3</v>
      </c>
      <c r="O105" s="5">
        <f t="shared" si="5"/>
        <v>1.2999999999999999E-3</v>
      </c>
    </row>
    <row r="106" spans="2:15" x14ac:dyDescent="0.3">
      <c r="B106" s="4">
        <v>45863</v>
      </c>
      <c r="C106" s="5">
        <v>-2.7E-2</v>
      </c>
      <c r="D106" s="5">
        <v>-8.3000000000000001E-3</v>
      </c>
      <c r="F106" s="5">
        <f t="shared" si="4"/>
        <v>-1.017E-2</v>
      </c>
      <c r="G106" s="5">
        <f t="shared" si="5"/>
        <v>-1.204E-2</v>
      </c>
      <c r="H106" s="5">
        <f t="shared" si="5"/>
        <v>-1.3909999999999999E-2</v>
      </c>
      <c r="I106" s="5">
        <f t="shared" si="5"/>
        <v>-1.5780000000000002E-2</v>
      </c>
      <c r="J106" s="5">
        <f t="shared" si="5"/>
        <v>-1.7649999999999999E-2</v>
      </c>
      <c r="K106" s="5">
        <f t="shared" si="5"/>
        <v>-1.9519999999999999E-2</v>
      </c>
      <c r="L106" s="5">
        <f t="shared" si="5"/>
        <v>-2.1389999999999999E-2</v>
      </c>
      <c r="M106" s="5">
        <f t="shared" si="5"/>
        <v>-2.3259999999999999E-2</v>
      </c>
      <c r="N106" s="5">
        <f t="shared" si="5"/>
        <v>-2.513E-2</v>
      </c>
      <c r="O106" s="5">
        <f t="shared" si="5"/>
        <v>-2.7E-2</v>
      </c>
    </row>
    <row r="107" spans="2:15" x14ac:dyDescent="0.3">
      <c r="B107" s="4">
        <v>45866</v>
      </c>
      <c r="C107" s="5">
        <v>-2.0999999999999999E-3</v>
      </c>
      <c r="D107" s="5">
        <v>-1.0500000000000001E-2</v>
      </c>
      <c r="F107" s="5">
        <f t="shared" si="4"/>
        <v>-9.6600000000000002E-3</v>
      </c>
      <c r="G107" s="5">
        <f t="shared" si="5"/>
        <v>-8.8200000000000014E-3</v>
      </c>
      <c r="H107" s="5">
        <f t="shared" si="5"/>
        <v>-7.9799999999999992E-3</v>
      </c>
      <c r="I107" s="5">
        <f t="shared" si="5"/>
        <v>-7.1400000000000005E-3</v>
      </c>
      <c r="J107" s="5">
        <f t="shared" si="5"/>
        <v>-6.3E-3</v>
      </c>
      <c r="K107" s="5">
        <f t="shared" si="5"/>
        <v>-5.4600000000000004E-3</v>
      </c>
      <c r="L107" s="5">
        <f t="shared" si="5"/>
        <v>-4.62E-3</v>
      </c>
      <c r="M107" s="5">
        <f t="shared" si="5"/>
        <v>-3.7799999999999999E-3</v>
      </c>
      <c r="N107" s="5">
        <f t="shared" si="5"/>
        <v>-2.9399999999999999E-3</v>
      </c>
      <c r="O107" s="5">
        <f t="shared" si="5"/>
        <v>-2.0999999999999999E-3</v>
      </c>
    </row>
    <row r="108" spans="2:15" x14ac:dyDescent="0.3">
      <c r="B108" s="4">
        <v>45867</v>
      </c>
      <c r="C108" s="5">
        <v>1.6500000000000001E-2</v>
      </c>
      <c r="D108" s="5">
        <v>-2.3999999999999998E-3</v>
      </c>
      <c r="F108" s="5">
        <f t="shared" si="4"/>
        <v>-5.0999999999999982E-4</v>
      </c>
      <c r="G108" s="5">
        <f t="shared" si="5"/>
        <v>1.3800000000000006E-3</v>
      </c>
      <c r="H108" s="5">
        <f t="shared" si="5"/>
        <v>3.2700000000000003E-3</v>
      </c>
      <c r="I108" s="5">
        <f t="shared" si="5"/>
        <v>5.1600000000000014E-3</v>
      </c>
      <c r="J108" s="5">
        <f t="shared" si="5"/>
        <v>7.0500000000000007E-3</v>
      </c>
      <c r="K108" s="5">
        <f t="shared" si="5"/>
        <v>8.94E-3</v>
      </c>
      <c r="L108" s="5">
        <f t="shared" si="5"/>
        <v>1.0829999999999999E-2</v>
      </c>
      <c r="M108" s="5">
        <f t="shared" si="5"/>
        <v>1.2720000000000002E-2</v>
      </c>
      <c r="N108" s="5">
        <f t="shared" si="5"/>
        <v>1.461E-2</v>
      </c>
      <c r="O108" s="5">
        <f t="shared" si="5"/>
        <v>1.6500000000000001E-2</v>
      </c>
    </row>
    <row r="109" spans="2:15" x14ac:dyDescent="0.3">
      <c r="B109" s="4">
        <v>45868</v>
      </c>
      <c r="C109" s="5">
        <v>-3.0700000000000002E-2</v>
      </c>
      <c r="D109" s="5">
        <v>-1.01E-2</v>
      </c>
      <c r="F109" s="5">
        <f t="shared" si="4"/>
        <v>-1.2159999999999999E-2</v>
      </c>
      <c r="G109" s="5">
        <f t="shared" si="5"/>
        <v>-1.422E-2</v>
      </c>
      <c r="H109" s="5">
        <f t="shared" si="5"/>
        <v>-1.6279999999999999E-2</v>
      </c>
      <c r="I109" s="5">
        <f t="shared" si="5"/>
        <v>-1.8340000000000002E-2</v>
      </c>
      <c r="J109" s="5">
        <f t="shared" si="5"/>
        <v>-2.0400000000000001E-2</v>
      </c>
      <c r="K109" s="5">
        <f t="shared" si="5"/>
        <v>-2.2460000000000001E-2</v>
      </c>
      <c r="L109" s="5">
        <f t="shared" si="5"/>
        <v>-2.452E-2</v>
      </c>
      <c r="M109" s="5">
        <f t="shared" si="5"/>
        <v>-2.6580000000000003E-2</v>
      </c>
      <c r="N109" s="5">
        <f t="shared" si="5"/>
        <v>-2.8640000000000002E-2</v>
      </c>
      <c r="O109" s="5">
        <f t="shared" si="5"/>
        <v>-3.0700000000000002E-2</v>
      </c>
    </row>
    <row r="110" spans="2:15" x14ac:dyDescent="0.3">
      <c r="B110" s="4">
        <v>45869</v>
      </c>
      <c r="C110" s="5">
        <v>6.6E-3</v>
      </c>
      <c r="D110" s="5">
        <v>1.43E-2</v>
      </c>
      <c r="F110" s="5">
        <f t="shared" si="4"/>
        <v>1.353E-2</v>
      </c>
      <c r="G110" s="5">
        <f t="shared" si="5"/>
        <v>1.2760000000000001E-2</v>
      </c>
      <c r="H110" s="5">
        <f t="shared" si="5"/>
        <v>1.1990000000000001E-2</v>
      </c>
      <c r="I110" s="5">
        <f t="shared" si="5"/>
        <v>1.1219999999999999E-2</v>
      </c>
      <c r="J110" s="5">
        <f t="shared" si="5"/>
        <v>1.0450000000000001E-2</v>
      </c>
      <c r="K110" s="5">
        <f t="shared" si="5"/>
        <v>9.6800000000000011E-3</v>
      </c>
      <c r="L110" s="5">
        <f t="shared" si="5"/>
        <v>8.9100000000000013E-3</v>
      </c>
      <c r="M110" s="5">
        <f t="shared" si="5"/>
        <v>8.1399999999999997E-3</v>
      </c>
      <c r="N110" s="5">
        <f t="shared" si="5"/>
        <v>7.3699999999999998E-3</v>
      </c>
      <c r="O110" s="5">
        <f t="shared" si="5"/>
        <v>6.6E-3</v>
      </c>
    </row>
    <row r="111" spans="2:15" x14ac:dyDescent="0.3">
      <c r="B111" s="4">
        <v>45870</v>
      </c>
      <c r="C111" s="5">
        <v>-2.8199999999999999E-2</v>
      </c>
      <c r="D111" s="5">
        <v>-9.9000000000000008E-3</v>
      </c>
      <c r="F111" s="5">
        <f t="shared" si="4"/>
        <v>-1.1730000000000001E-2</v>
      </c>
      <c r="G111" s="5">
        <f t="shared" si="5"/>
        <v>-1.3560000000000003E-2</v>
      </c>
      <c r="H111" s="5">
        <f t="shared" si="5"/>
        <v>-1.5389999999999999E-2</v>
      </c>
      <c r="I111" s="5">
        <f t="shared" si="5"/>
        <v>-1.7219999999999999E-2</v>
      </c>
      <c r="J111" s="5">
        <f t="shared" si="5"/>
        <v>-1.9050000000000001E-2</v>
      </c>
      <c r="K111" s="5">
        <f t="shared" si="5"/>
        <v>-2.0879999999999999E-2</v>
      </c>
      <c r="L111" s="5">
        <f t="shared" si="5"/>
        <v>-2.2709999999999998E-2</v>
      </c>
      <c r="M111" s="5">
        <f t="shared" si="5"/>
        <v>-2.4539999999999999E-2</v>
      </c>
      <c r="N111" s="5">
        <f t="shared" si="5"/>
        <v>-2.6370000000000001E-2</v>
      </c>
      <c r="O111" s="5">
        <f t="shared" si="5"/>
        <v>-2.8199999999999999E-2</v>
      </c>
    </row>
    <row r="112" spans="2:15" x14ac:dyDescent="0.3">
      <c r="B112" s="4">
        <v>45873</v>
      </c>
      <c r="C112" s="5">
        <v>1.7500000000000002E-2</v>
      </c>
      <c r="D112" s="5">
        <v>1.6000000000000001E-3</v>
      </c>
      <c r="F112" s="5">
        <f t="shared" si="4"/>
        <v>3.1900000000000001E-3</v>
      </c>
      <c r="G112" s="5">
        <f t="shared" si="5"/>
        <v>4.7800000000000004E-3</v>
      </c>
      <c r="H112" s="5">
        <f t="shared" si="5"/>
        <v>6.3700000000000007E-3</v>
      </c>
      <c r="I112" s="5">
        <f t="shared" si="5"/>
        <v>7.9600000000000018E-3</v>
      </c>
      <c r="J112" s="5">
        <f t="shared" si="5"/>
        <v>9.5500000000000012E-3</v>
      </c>
      <c r="K112" s="5">
        <f t="shared" si="5"/>
        <v>1.1140000000000001E-2</v>
      </c>
      <c r="L112" s="5">
        <f t="shared" si="5"/>
        <v>1.273E-2</v>
      </c>
      <c r="M112" s="5">
        <f t="shared" si="5"/>
        <v>1.4320000000000001E-2</v>
      </c>
      <c r="N112" s="5">
        <f t="shared" si="5"/>
        <v>1.5910000000000004E-2</v>
      </c>
      <c r="O112" s="5">
        <f t="shared" si="5"/>
        <v>1.7500000000000002E-2</v>
      </c>
    </row>
    <row r="113" spans="2:15" x14ac:dyDescent="0.3">
      <c r="B113" s="4">
        <v>45874</v>
      </c>
      <c r="C113" s="5">
        <v>-3.4200000000000001E-2</v>
      </c>
      <c r="D113" s="5">
        <v>-1.0200000000000001E-2</v>
      </c>
      <c r="F113" s="5">
        <f t="shared" si="4"/>
        <v>-1.26E-2</v>
      </c>
      <c r="G113" s="5">
        <f t="shared" si="5"/>
        <v>-1.5000000000000001E-2</v>
      </c>
      <c r="H113" s="5">
        <f t="shared" si="5"/>
        <v>-1.7399999999999999E-2</v>
      </c>
      <c r="I113" s="5">
        <f t="shared" si="5"/>
        <v>-1.9800000000000002E-2</v>
      </c>
      <c r="J113" s="5">
        <f t="shared" si="5"/>
        <v>-2.2200000000000001E-2</v>
      </c>
      <c r="K113" s="5">
        <f t="shared" si="5"/>
        <v>-2.46E-2</v>
      </c>
      <c r="L113" s="5">
        <f t="shared" si="5"/>
        <v>-2.7E-2</v>
      </c>
      <c r="M113" s="5">
        <f t="shared" si="5"/>
        <v>-2.9400000000000003E-2</v>
      </c>
      <c r="N113" s="5">
        <f t="shared" si="5"/>
        <v>-3.1800000000000002E-2</v>
      </c>
      <c r="O113" s="5">
        <f t="shared" si="5"/>
        <v>-3.4200000000000001E-2</v>
      </c>
    </row>
    <row r="114" spans="2:15" x14ac:dyDescent="0.3">
      <c r="B114" s="4">
        <v>45875</v>
      </c>
      <c r="C114" s="5">
        <v>2.18E-2</v>
      </c>
      <c r="D114" s="5">
        <v>-1.09E-2</v>
      </c>
      <c r="F114" s="5">
        <f t="shared" si="4"/>
        <v>-7.6300000000000014E-3</v>
      </c>
      <c r="G114" s="5">
        <f t="shared" si="5"/>
        <v>-4.3600000000000002E-3</v>
      </c>
      <c r="H114" s="5">
        <f t="shared" si="5"/>
        <v>-1.0899999999999998E-3</v>
      </c>
      <c r="I114" s="5">
        <f t="shared" si="5"/>
        <v>2.1800000000000005E-3</v>
      </c>
      <c r="J114" s="5">
        <f t="shared" si="5"/>
        <v>5.45E-3</v>
      </c>
      <c r="K114" s="5">
        <f t="shared" si="5"/>
        <v>8.7199999999999986E-3</v>
      </c>
      <c r="L114" s="5">
        <f t="shared" si="5"/>
        <v>1.1989999999999999E-2</v>
      </c>
      <c r="M114" s="5">
        <f t="shared" si="5"/>
        <v>1.5260000000000001E-2</v>
      </c>
      <c r="N114" s="5">
        <f t="shared" si="5"/>
        <v>1.8530000000000001E-2</v>
      </c>
      <c r="O114" s="5">
        <f t="shared" si="5"/>
        <v>2.18E-2</v>
      </c>
    </row>
    <row r="115" spans="2:15" x14ac:dyDescent="0.3">
      <c r="B115" s="4">
        <v>45876</v>
      </c>
      <c r="C115" s="5">
        <v>1.15E-2</v>
      </c>
      <c r="D115" s="5">
        <v>9.7000000000000003E-3</v>
      </c>
      <c r="F115" s="5">
        <f t="shared" si="4"/>
        <v>9.8799999999999999E-3</v>
      </c>
      <c r="G115" s="5">
        <f t="shared" si="5"/>
        <v>1.0059999999999999E-2</v>
      </c>
      <c r="H115" s="5">
        <f t="shared" si="5"/>
        <v>1.0239999999999999E-2</v>
      </c>
      <c r="I115" s="5">
        <f t="shared" si="5"/>
        <v>1.0419999999999999E-2</v>
      </c>
      <c r="J115" s="5">
        <f t="shared" si="5"/>
        <v>1.06E-2</v>
      </c>
      <c r="K115" s="5">
        <f t="shared" si="5"/>
        <v>1.078E-2</v>
      </c>
      <c r="L115" s="5">
        <f t="shared" si="5"/>
        <v>1.0960000000000001E-2</v>
      </c>
      <c r="M115" s="5">
        <f t="shared" si="5"/>
        <v>1.1139999999999999E-2</v>
      </c>
      <c r="N115" s="5">
        <f t="shared" si="5"/>
        <v>1.132E-2</v>
      </c>
      <c r="O115" s="5">
        <f t="shared" si="5"/>
        <v>1.15E-2</v>
      </c>
    </row>
    <row r="116" spans="2:15" x14ac:dyDescent="0.3">
      <c r="B116" s="4">
        <v>45877</v>
      </c>
      <c r="C116" s="5">
        <v>-3.44E-2</v>
      </c>
      <c r="D116" s="5">
        <v>-2.8E-3</v>
      </c>
      <c r="F116" s="5">
        <f t="shared" si="4"/>
        <v>-5.96E-3</v>
      </c>
      <c r="G116" s="5">
        <f t="shared" si="5"/>
        <v>-9.1200000000000014E-3</v>
      </c>
      <c r="H116" s="5">
        <f t="shared" si="5"/>
        <v>-1.2279999999999999E-2</v>
      </c>
      <c r="I116" s="5">
        <f t="shared" si="5"/>
        <v>-1.5440000000000001E-2</v>
      </c>
      <c r="J116" s="5">
        <f t="shared" si="5"/>
        <v>-1.8599999999999998E-2</v>
      </c>
      <c r="K116" s="5">
        <f t="shared" si="5"/>
        <v>-2.1759999999999998E-2</v>
      </c>
      <c r="L116" s="5">
        <f t="shared" si="5"/>
        <v>-2.4919999999999998E-2</v>
      </c>
      <c r="M116" s="5">
        <f t="shared" si="5"/>
        <v>-2.8080000000000004E-2</v>
      </c>
      <c r="N116" s="5">
        <f t="shared" si="5"/>
        <v>-3.124E-2</v>
      </c>
      <c r="O116" s="5">
        <f t="shared" si="5"/>
        <v>-3.44E-2</v>
      </c>
    </row>
    <row r="117" spans="2:15" x14ac:dyDescent="0.3">
      <c r="B117" s="4">
        <v>45880</v>
      </c>
      <c r="C117" s="5">
        <v>4.1300000000000003E-2</v>
      </c>
      <c r="D117" s="5">
        <v>2.8199999999999999E-2</v>
      </c>
      <c r="F117" s="5">
        <f t="shared" si="4"/>
        <v>2.9510000000000002E-2</v>
      </c>
      <c r="G117" s="5">
        <f t="shared" si="5"/>
        <v>3.082E-2</v>
      </c>
      <c r="H117" s="5">
        <f t="shared" si="5"/>
        <v>3.2129999999999999E-2</v>
      </c>
      <c r="I117" s="5">
        <f t="shared" si="5"/>
        <v>3.3439999999999998E-2</v>
      </c>
      <c r="J117" s="5">
        <f t="shared" si="5"/>
        <v>3.4750000000000003E-2</v>
      </c>
      <c r="K117" s="5">
        <f t="shared" si="5"/>
        <v>3.6060000000000002E-2</v>
      </c>
      <c r="L117" s="5">
        <f t="shared" si="5"/>
        <v>3.737E-2</v>
      </c>
      <c r="M117" s="5">
        <f t="shared" si="5"/>
        <v>3.8680000000000006E-2</v>
      </c>
      <c r="N117" s="5">
        <f t="shared" si="5"/>
        <v>3.9989999999999998E-2</v>
      </c>
      <c r="O117" s="5">
        <f t="shared" si="5"/>
        <v>4.1300000000000003E-2</v>
      </c>
    </row>
    <row r="118" spans="2:15" x14ac:dyDescent="0.3">
      <c r="B118" s="4">
        <v>45881</v>
      </c>
      <c r="C118" s="5">
        <v>-1.8599999999999998E-2</v>
      </c>
      <c r="D118" s="5">
        <v>-1.1299999999999999E-2</v>
      </c>
      <c r="F118" s="5">
        <f t="shared" si="4"/>
        <v>-1.2030000000000001E-2</v>
      </c>
      <c r="G118" s="5">
        <f t="shared" si="5"/>
        <v>-1.2759999999999999E-2</v>
      </c>
      <c r="H118" s="5">
        <f t="shared" si="5"/>
        <v>-1.3489999999999999E-2</v>
      </c>
      <c r="I118" s="5">
        <f t="shared" si="5"/>
        <v>-1.422E-2</v>
      </c>
      <c r="J118" s="5">
        <f t="shared" si="5"/>
        <v>-1.4949999999999998E-2</v>
      </c>
      <c r="K118" s="5">
        <f t="shared" si="5"/>
        <v>-1.5679999999999999E-2</v>
      </c>
      <c r="L118" s="5">
        <f t="shared" si="5"/>
        <v>-1.6409999999999998E-2</v>
      </c>
      <c r="M118" s="5">
        <f t="shared" si="5"/>
        <v>-1.7139999999999999E-2</v>
      </c>
      <c r="N118" s="5">
        <f t="shared" si="5"/>
        <v>-1.7869999999999997E-2</v>
      </c>
      <c r="O118" s="5">
        <f t="shared" si="5"/>
        <v>-1.8599999999999998E-2</v>
      </c>
    </row>
    <row r="119" spans="2:15" x14ac:dyDescent="0.3">
      <c r="B119" s="4">
        <v>45882</v>
      </c>
      <c r="C119" s="5">
        <v>1.8200000000000001E-2</v>
      </c>
      <c r="D119" s="5">
        <v>2.1100000000000001E-2</v>
      </c>
      <c r="F119" s="5">
        <f t="shared" si="4"/>
        <v>2.0809999999999999E-2</v>
      </c>
      <c r="G119" s="5">
        <f t="shared" si="5"/>
        <v>2.0520000000000004E-2</v>
      </c>
      <c r="H119" s="5">
        <f t="shared" si="5"/>
        <v>2.0230000000000001E-2</v>
      </c>
      <c r="I119" s="5">
        <f t="shared" si="5"/>
        <v>1.9939999999999999E-2</v>
      </c>
      <c r="J119" s="5">
        <f t="shared" si="5"/>
        <v>1.9650000000000001E-2</v>
      </c>
      <c r="K119" s="5">
        <f t="shared" si="5"/>
        <v>1.9360000000000002E-2</v>
      </c>
      <c r="L119" s="5">
        <f t="shared" si="5"/>
        <v>1.907E-2</v>
      </c>
      <c r="M119" s="5">
        <f t="shared" si="5"/>
        <v>1.8780000000000002E-2</v>
      </c>
      <c r="N119" s="5">
        <f t="shared" si="5"/>
        <v>1.8490000000000003E-2</v>
      </c>
      <c r="O119" s="5">
        <f t="shared" si="5"/>
        <v>1.8200000000000001E-2</v>
      </c>
    </row>
    <row r="120" spans="2:15" x14ac:dyDescent="0.3">
      <c r="B120" s="4">
        <v>45883</v>
      </c>
      <c r="C120" s="5">
        <v>-5.0000000000000001E-3</v>
      </c>
      <c r="D120" s="5">
        <v>1.9400000000000001E-2</v>
      </c>
      <c r="F120" s="5">
        <f t="shared" si="4"/>
        <v>1.6959999999999999E-2</v>
      </c>
      <c r="G120" s="5">
        <f t="shared" si="5"/>
        <v>1.4520000000000002E-2</v>
      </c>
      <c r="H120" s="5">
        <f t="shared" si="5"/>
        <v>1.208E-2</v>
      </c>
      <c r="I120" s="5">
        <f t="shared" si="5"/>
        <v>9.6399999999999993E-3</v>
      </c>
      <c r="J120" s="5">
        <f t="shared" si="5"/>
        <v>7.1999999999999998E-3</v>
      </c>
      <c r="K120" s="5">
        <f t="shared" si="5"/>
        <v>4.7600000000000003E-3</v>
      </c>
      <c r="L120" s="5">
        <f t="shared" si="5"/>
        <v>2.3200000000000017E-3</v>
      </c>
      <c r="M120" s="5">
        <f t="shared" si="5"/>
        <v>-1.2000000000000075E-4</v>
      </c>
      <c r="N120" s="5">
        <f t="shared" si="5"/>
        <v>-2.5600000000000006E-3</v>
      </c>
      <c r="O120" s="5">
        <f t="shared" si="5"/>
        <v>-5.0000000000000001E-3</v>
      </c>
    </row>
    <row r="121" spans="2:15" x14ac:dyDescent="0.3">
      <c r="B121" s="4">
        <v>45887</v>
      </c>
      <c r="C121" s="5">
        <v>3.5999999999999999E-3</v>
      </c>
      <c r="D121" s="5">
        <v>-1.0999999999999999E-2</v>
      </c>
      <c r="F121" s="5">
        <f t="shared" si="4"/>
        <v>-9.5399999999999999E-3</v>
      </c>
      <c r="G121" s="5">
        <f t="shared" si="5"/>
        <v>-8.0800000000000004E-3</v>
      </c>
      <c r="H121" s="5">
        <f t="shared" si="5"/>
        <v>-6.6199999999999991E-3</v>
      </c>
      <c r="I121" s="5">
        <f t="shared" si="5"/>
        <v>-5.1599999999999988E-3</v>
      </c>
      <c r="J121" s="5">
        <f t="shared" si="5"/>
        <v>-3.6999999999999997E-3</v>
      </c>
      <c r="K121" s="5">
        <f t="shared" si="5"/>
        <v>-2.2400000000000002E-3</v>
      </c>
      <c r="L121" s="5">
        <f t="shared" si="5"/>
        <v>-7.8000000000000074E-4</v>
      </c>
      <c r="M121" s="5">
        <f t="shared" si="5"/>
        <v>6.8000000000000092E-4</v>
      </c>
      <c r="N121" s="5">
        <f t="shared" si="5"/>
        <v>2.1400000000000004E-3</v>
      </c>
      <c r="O121" s="5">
        <f t="shared" si="5"/>
        <v>3.5999999999999999E-3</v>
      </c>
    </row>
    <row r="122" spans="2:15" x14ac:dyDescent="0.3">
      <c r="B122" s="4">
        <v>45888</v>
      </c>
      <c r="C122" s="5">
        <v>2.46E-2</v>
      </c>
      <c r="D122" s="5">
        <v>2.0799999999999999E-2</v>
      </c>
      <c r="F122" s="5">
        <f t="shared" si="4"/>
        <v>2.1180000000000001E-2</v>
      </c>
      <c r="G122" s="5">
        <f t="shared" si="5"/>
        <v>2.1559999999999999E-2</v>
      </c>
      <c r="H122" s="5">
        <f t="shared" si="5"/>
        <v>2.1939999999999998E-2</v>
      </c>
      <c r="I122" s="5">
        <f t="shared" si="5"/>
        <v>2.232E-2</v>
      </c>
      <c r="J122" s="5">
        <f t="shared" si="5"/>
        <v>2.2699999999999998E-2</v>
      </c>
      <c r="K122" s="5">
        <f t="shared" si="5"/>
        <v>2.3079999999999996E-2</v>
      </c>
      <c r="L122" s="5">
        <f t="shared" si="5"/>
        <v>2.3460000000000002E-2</v>
      </c>
      <c r="M122" s="5">
        <f t="shared" si="5"/>
        <v>2.384E-2</v>
      </c>
      <c r="N122" s="5">
        <f t="shared" si="5"/>
        <v>2.4219999999999998E-2</v>
      </c>
      <c r="O122" s="5">
        <f t="shared" si="5"/>
        <v>2.46E-2</v>
      </c>
    </row>
    <row r="123" spans="2:15" x14ac:dyDescent="0.3">
      <c r="B123" s="4">
        <v>45889</v>
      </c>
      <c r="C123" s="5">
        <v>2.7699999999999999E-2</v>
      </c>
      <c r="D123" s="5">
        <v>1.5900000000000001E-2</v>
      </c>
      <c r="F123" s="5">
        <f t="shared" si="4"/>
        <v>1.7080000000000001E-2</v>
      </c>
      <c r="G123" s="5">
        <f t="shared" si="5"/>
        <v>1.8260000000000002E-2</v>
      </c>
      <c r="H123" s="5">
        <f t="shared" si="5"/>
        <v>1.9439999999999999E-2</v>
      </c>
      <c r="I123" s="5">
        <f t="shared" si="5"/>
        <v>2.0619999999999999E-2</v>
      </c>
      <c r="J123" s="5">
        <f t="shared" si="5"/>
        <v>2.18E-2</v>
      </c>
      <c r="K123" s="5">
        <f t="shared" si="5"/>
        <v>2.298E-2</v>
      </c>
      <c r="L123" s="5">
        <f t="shared" si="5"/>
        <v>2.4159999999999997E-2</v>
      </c>
      <c r="M123" s="5">
        <f t="shared" si="5"/>
        <v>2.5339999999999998E-2</v>
      </c>
      <c r="N123" s="5">
        <f t="shared" si="5"/>
        <v>2.6520000000000002E-2</v>
      </c>
      <c r="O123" s="5">
        <f t="shared" si="5"/>
        <v>2.7699999999999999E-2</v>
      </c>
    </row>
    <row r="124" spans="2:15" x14ac:dyDescent="0.3">
      <c r="B124" s="4">
        <v>45890</v>
      </c>
      <c r="C124" s="5">
        <v>3.4799999999999998E-2</v>
      </c>
      <c r="D124" s="5">
        <v>-1.4500000000000001E-2</v>
      </c>
      <c r="F124" s="5">
        <f t="shared" si="4"/>
        <v>-9.5700000000000004E-3</v>
      </c>
      <c r="G124" s="5">
        <f t="shared" si="5"/>
        <v>-4.6400000000000009E-3</v>
      </c>
      <c r="H124" s="5">
        <f t="shared" si="5"/>
        <v>2.9000000000000033E-4</v>
      </c>
      <c r="I124" s="5">
        <f t="shared" si="5"/>
        <v>5.2200000000000007E-3</v>
      </c>
      <c r="J124" s="5">
        <f t="shared" si="5"/>
        <v>1.0149999999999999E-2</v>
      </c>
      <c r="K124" s="5">
        <f t="shared" si="5"/>
        <v>1.508E-2</v>
      </c>
      <c r="L124" s="5">
        <f t="shared" si="5"/>
        <v>2.0009999999999997E-2</v>
      </c>
      <c r="M124" s="5">
        <f t="shared" si="5"/>
        <v>2.494E-2</v>
      </c>
      <c r="N124" s="5">
        <f t="shared" si="5"/>
        <v>2.9870000000000001E-2</v>
      </c>
      <c r="O124" s="5">
        <f t="shared" si="5"/>
        <v>3.4799999999999998E-2</v>
      </c>
    </row>
    <row r="125" spans="2:15" x14ac:dyDescent="0.3">
      <c r="B125" s="4">
        <v>45891</v>
      </c>
      <c r="C125" s="5">
        <v>-1.7899999999999999E-2</v>
      </c>
      <c r="D125" s="5">
        <v>-8.3999999999999995E-3</v>
      </c>
      <c r="F125" s="5">
        <f t="shared" si="4"/>
        <v>-9.3500000000000007E-3</v>
      </c>
      <c r="G125" s="5">
        <f t="shared" si="5"/>
        <v>-1.03E-2</v>
      </c>
      <c r="H125" s="5">
        <f t="shared" si="5"/>
        <v>-1.125E-2</v>
      </c>
      <c r="I125" s="5">
        <f t="shared" si="5"/>
        <v>-1.2199999999999999E-2</v>
      </c>
      <c r="J125" s="5">
        <f t="shared" si="5"/>
        <v>-1.3149999999999998E-2</v>
      </c>
      <c r="K125" s="5">
        <f t="shared" si="5"/>
        <v>-1.41E-2</v>
      </c>
      <c r="L125" s="5">
        <f t="shared" si="5"/>
        <v>-1.5049999999999999E-2</v>
      </c>
      <c r="M125" s="5">
        <f t="shared" si="5"/>
        <v>-1.6E-2</v>
      </c>
      <c r="N125" s="5">
        <f t="shared" si="5"/>
        <v>-1.695E-2</v>
      </c>
      <c r="O125" s="5">
        <f t="shared" si="5"/>
        <v>-1.7899999999999999E-2</v>
      </c>
    </row>
    <row r="126" spans="2:15" x14ac:dyDescent="0.3">
      <c r="B126" s="4">
        <v>45894</v>
      </c>
      <c r="C126" s="5">
        <v>-5.3E-3</v>
      </c>
      <c r="D126" s="5">
        <v>5.0000000000000001E-4</v>
      </c>
      <c r="F126" s="5">
        <f t="shared" si="4"/>
        <v>-7.9999999999999939E-5</v>
      </c>
      <c r="G126" s="5">
        <f t="shared" si="5"/>
        <v>-6.6E-4</v>
      </c>
      <c r="H126" s="5">
        <f t="shared" si="5"/>
        <v>-1.24E-3</v>
      </c>
      <c r="I126" s="5">
        <f t="shared" si="5"/>
        <v>-1.82E-3</v>
      </c>
      <c r="J126" s="5">
        <f t="shared" si="5"/>
        <v>-2.4000000000000002E-3</v>
      </c>
      <c r="K126" s="5">
        <f t="shared" si="5"/>
        <v>-2.98E-3</v>
      </c>
      <c r="L126" s="5">
        <f t="shared" si="5"/>
        <v>-3.5599999999999998E-3</v>
      </c>
      <c r="M126" s="5">
        <f t="shared" si="5"/>
        <v>-4.1399999999999996E-3</v>
      </c>
      <c r="N126" s="5">
        <f t="shared" si="5"/>
        <v>-4.7200000000000002E-3</v>
      </c>
      <c r="O126" s="5">
        <f t="shared" si="5"/>
        <v>-5.3E-3</v>
      </c>
    </row>
    <row r="127" spans="2:15" x14ac:dyDescent="0.3">
      <c r="B127" s="4">
        <v>45895</v>
      </c>
      <c r="C127" s="5">
        <v>1.15E-2</v>
      </c>
      <c r="D127" s="5">
        <v>-4.1999999999999997E-3</v>
      </c>
      <c r="F127" s="5">
        <f t="shared" si="4"/>
        <v>-2.63E-3</v>
      </c>
      <c r="G127" s="5">
        <f t="shared" si="5"/>
        <v>-1.0600000000000002E-3</v>
      </c>
      <c r="H127" s="5">
        <f t="shared" si="5"/>
        <v>5.1000000000000047E-4</v>
      </c>
      <c r="I127" s="5">
        <f t="shared" si="5"/>
        <v>2.0800000000000003E-3</v>
      </c>
      <c r="J127" s="5">
        <f t="shared" si="5"/>
        <v>3.65E-3</v>
      </c>
      <c r="K127" s="5">
        <f t="shared" si="5"/>
        <v>5.2199999999999998E-3</v>
      </c>
      <c r="L127" s="5">
        <f t="shared" si="5"/>
        <v>6.79E-3</v>
      </c>
      <c r="M127" s="5">
        <f t="shared" si="5"/>
        <v>8.3599999999999994E-3</v>
      </c>
      <c r="N127" s="5">
        <f t="shared" si="5"/>
        <v>9.9299999999999996E-3</v>
      </c>
      <c r="O127" s="5">
        <f t="shared" si="5"/>
        <v>1.15E-2</v>
      </c>
    </row>
    <row r="128" spans="2:15" x14ac:dyDescent="0.3">
      <c r="B128" s="4">
        <v>45897</v>
      </c>
      <c r="C128" s="5">
        <v>-2.2200000000000001E-2</v>
      </c>
      <c r="D128" s="5">
        <v>-7.4999999999999997E-3</v>
      </c>
      <c r="F128" s="5">
        <f t="shared" si="4"/>
        <v>-8.9700000000000005E-3</v>
      </c>
      <c r="G128" s="5">
        <f t="shared" si="5"/>
        <v>-1.0440000000000001E-2</v>
      </c>
      <c r="H128" s="5">
        <f t="shared" ref="G128:O156" si="6">H$5*$C128+(1-H$5)*$D128</f>
        <v>-1.191E-2</v>
      </c>
      <c r="I128" s="5">
        <f t="shared" si="6"/>
        <v>-1.338E-2</v>
      </c>
      <c r="J128" s="5">
        <f t="shared" si="6"/>
        <v>-1.485E-2</v>
      </c>
      <c r="K128" s="5">
        <f t="shared" si="6"/>
        <v>-1.6320000000000001E-2</v>
      </c>
      <c r="L128" s="5">
        <f t="shared" si="6"/>
        <v>-1.779E-2</v>
      </c>
      <c r="M128" s="5">
        <f t="shared" si="6"/>
        <v>-1.9259999999999999E-2</v>
      </c>
      <c r="N128" s="5">
        <f t="shared" si="6"/>
        <v>-2.0730000000000002E-2</v>
      </c>
      <c r="O128" s="5">
        <f t="shared" si="6"/>
        <v>-2.2200000000000001E-2</v>
      </c>
    </row>
    <row r="129" spans="2:15" x14ac:dyDescent="0.3">
      <c r="B129" s="4">
        <v>45898</v>
      </c>
      <c r="C129" s="5">
        <v>-2.6700000000000002E-2</v>
      </c>
      <c r="D129" s="5">
        <v>-4.8999999999999998E-3</v>
      </c>
      <c r="F129" s="5">
        <f t="shared" si="4"/>
        <v>-7.0800000000000004E-3</v>
      </c>
      <c r="G129" s="5">
        <f t="shared" si="6"/>
        <v>-9.2600000000000009E-3</v>
      </c>
      <c r="H129" s="5">
        <f t="shared" si="6"/>
        <v>-1.1439999999999999E-2</v>
      </c>
      <c r="I129" s="5">
        <f t="shared" si="6"/>
        <v>-1.3620000000000002E-2</v>
      </c>
      <c r="J129" s="5">
        <f t="shared" si="6"/>
        <v>-1.5800000000000002E-2</v>
      </c>
      <c r="K129" s="5">
        <f t="shared" si="6"/>
        <v>-1.7979999999999999E-2</v>
      </c>
      <c r="L129" s="5">
        <f t="shared" si="6"/>
        <v>-2.0159999999999997E-2</v>
      </c>
      <c r="M129" s="5">
        <f t="shared" si="6"/>
        <v>-2.2340000000000002E-2</v>
      </c>
      <c r="N129" s="5">
        <f t="shared" si="6"/>
        <v>-2.4520000000000004E-2</v>
      </c>
      <c r="O129" s="5">
        <f t="shared" si="6"/>
        <v>-2.6700000000000002E-2</v>
      </c>
    </row>
    <row r="130" spans="2:15" x14ac:dyDescent="0.3">
      <c r="B130" s="4">
        <v>45901</v>
      </c>
      <c r="C130" s="5">
        <v>4.58E-2</v>
      </c>
      <c r="D130" s="5">
        <v>2.2800000000000001E-2</v>
      </c>
      <c r="F130" s="5">
        <f t="shared" si="4"/>
        <v>2.5100000000000001E-2</v>
      </c>
      <c r="G130" s="5">
        <f t="shared" si="6"/>
        <v>2.7400000000000001E-2</v>
      </c>
      <c r="H130" s="5">
        <f t="shared" si="6"/>
        <v>2.9699999999999997E-2</v>
      </c>
      <c r="I130" s="5">
        <f t="shared" si="6"/>
        <v>3.2000000000000001E-2</v>
      </c>
      <c r="J130" s="5">
        <f t="shared" si="6"/>
        <v>3.4299999999999997E-2</v>
      </c>
      <c r="K130" s="5">
        <f t="shared" si="6"/>
        <v>3.6600000000000001E-2</v>
      </c>
      <c r="L130" s="5">
        <f t="shared" si="6"/>
        <v>3.8899999999999997E-2</v>
      </c>
      <c r="M130" s="5">
        <f t="shared" si="6"/>
        <v>4.1200000000000001E-2</v>
      </c>
      <c r="N130" s="5">
        <f t="shared" si="6"/>
        <v>4.3499999999999997E-2</v>
      </c>
      <c r="O130" s="5">
        <f t="shared" si="6"/>
        <v>4.58E-2</v>
      </c>
    </row>
    <row r="131" spans="2:15" x14ac:dyDescent="0.3">
      <c r="B131" s="4">
        <v>45902</v>
      </c>
      <c r="C131" s="5">
        <v>-6.0000000000000001E-3</v>
      </c>
      <c r="D131" s="5">
        <v>4.0000000000000001E-3</v>
      </c>
      <c r="F131" s="5">
        <f t="shared" si="4"/>
        <v>3.0000000000000001E-3</v>
      </c>
      <c r="G131" s="5">
        <f t="shared" si="6"/>
        <v>2E-3</v>
      </c>
      <c r="H131" s="5">
        <f t="shared" si="6"/>
        <v>1E-3</v>
      </c>
      <c r="I131" s="5">
        <f t="shared" si="6"/>
        <v>0</v>
      </c>
      <c r="J131" s="5">
        <f t="shared" si="6"/>
        <v>-1E-3</v>
      </c>
      <c r="K131" s="5">
        <f t="shared" si="6"/>
        <v>-2E-3</v>
      </c>
      <c r="L131" s="5">
        <f t="shared" si="6"/>
        <v>-2.9999999999999996E-3</v>
      </c>
      <c r="M131" s="5">
        <f t="shared" si="6"/>
        <v>-4.000000000000001E-3</v>
      </c>
      <c r="N131" s="5">
        <f t="shared" si="6"/>
        <v>-5.0000000000000001E-3</v>
      </c>
      <c r="O131" s="5">
        <f t="shared" si="6"/>
        <v>-6.0000000000000001E-3</v>
      </c>
    </row>
    <row r="132" spans="2:15" x14ac:dyDescent="0.3">
      <c r="B132" s="4">
        <v>45903</v>
      </c>
      <c r="C132" s="5">
        <v>1.09E-2</v>
      </c>
      <c r="D132" s="5">
        <v>1.15E-2</v>
      </c>
      <c r="F132" s="5">
        <f t="shared" si="4"/>
        <v>1.1440000000000001E-2</v>
      </c>
      <c r="G132" s="5">
        <f t="shared" si="6"/>
        <v>1.1379999999999999E-2</v>
      </c>
      <c r="H132" s="5">
        <f t="shared" si="6"/>
        <v>1.132E-2</v>
      </c>
      <c r="I132" s="5">
        <f t="shared" si="6"/>
        <v>1.1259999999999999E-2</v>
      </c>
      <c r="J132" s="5">
        <f t="shared" si="6"/>
        <v>1.12E-2</v>
      </c>
      <c r="K132" s="5">
        <f t="shared" si="6"/>
        <v>1.1140000000000001E-2</v>
      </c>
      <c r="L132" s="5">
        <f t="shared" si="6"/>
        <v>1.108E-2</v>
      </c>
      <c r="M132" s="5">
        <f t="shared" si="6"/>
        <v>1.102E-2</v>
      </c>
      <c r="N132" s="5">
        <f t="shared" si="6"/>
        <v>1.0960000000000001E-2</v>
      </c>
      <c r="O132" s="5">
        <f t="shared" si="6"/>
        <v>1.09E-2</v>
      </c>
    </row>
    <row r="133" spans="2:15" x14ac:dyDescent="0.3">
      <c r="B133" s="4">
        <v>45904</v>
      </c>
      <c r="C133" s="5">
        <v>-1.7399999999999999E-2</v>
      </c>
      <c r="D133" s="5">
        <v>5.0000000000000001E-4</v>
      </c>
      <c r="F133" s="5">
        <f t="shared" si="4"/>
        <v>-1.2899999999999999E-3</v>
      </c>
      <c r="G133" s="5">
        <f t="shared" si="6"/>
        <v>-3.0799999999999998E-3</v>
      </c>
      <c r="H133" s="5">
        <f t="shared" si="6"/>
        <v>-4.8700000000000002E-3</v>
      </c>
      <c r="I133" s="5">
        <f t="shared" si="6"/>
        <v>-6.6600000000000001E-3</v>
      </c>
      <c r="J133" s="5">
        <f t="shared" si="6"/>
        <v>-8.4499999999999992E-3</v>
      </c>
      <c r="K133" s="5">
        <f t="shared" si="6"/>
        <v>-1.0239999999999999E-2</v>
      </c>
      <c r="L133" s="5">
        <f t="shared" si="6"/>
        <v>-1.2029999999999997E-2</v>
      </c>
      <c r="M133" s="5">
        <f t="shared" si="6"/>
        <v>-1.3820000000000001E-2</v>
      </c>
      <c r="N133" s="5">
        <f t="shared" si="6"/>
        <v>-1.5610000000000001E-2</v>
      </c>
      <c r="O133" s="5">
        <f t="shared" si="6"/>
        <v>-1.7399999999999999E-2</v>
      </c>
    </row>
    <row r="134" spans="2:15" x14ac:dyDescent="0.3">
      <c r="B134" s="4">
        <v>45905</v>
      </c>
      <c r="C134" s="5">
        <v>3.7699999999999997E-2</v>
      </c>
      <c r="D134" s="5">
        <v>8.8999999999999999E-3</v>
      </c>
      <c r="F134" s="5">
        <f t="shared" si="4"/>
        <v>1.1779999999999999E-2</v>
      </c>
      <c r="G134" s="5">
        <f t="shared" si="6"/>
        <v>1.4659999999999999E-2</v>
      </c>
      <c r="H134" s="5">
        <f t="shared" si="6"/>
        <v>1.754E-2</v>
      </c>
      <c r="I134" s="5">
        <f t="shared" si="6"/>
        <v>2.0420000000000001E-2</v>
      </c>
      <c r="J134" s="5">
        <f t="shared" si="6"/>
        <v>2.3299999999999998E-2</v>
      </c>
      <c r="K134" s="5">
        <f t="shared" si="6"/>
        <v>2.6179999999999998E-2</v>
      </c>
      <c r="L134" s="5">
        <f t="shared" si="6"/>
        <v>2.9059999999999996E-2</v>
      </c>
      <c r="M134" s="5">
        <f t="shared" si="6"/>
        <v>3.1939999999999996E-2</v>
      </c>
      <c r="N134" s="5">
        <f t="shared" si="6"/>
        <v>3.4820000000000004E-2</v>
      </c>
      <c r="O134" s="5">
        <f t="shared" si="6"/>
        <v>3.7699999999999997E-2</v>
      </c>
    </row>
    <row r="135" spans="2:15" x14ac:dyDescent="0.3">
      <c r="B135" s="4">
        <v>45908</v>
      </c>
      <c r="C135" s="5">
        <v>9.2999999999999992E-3</v>
      </c>
      <c r="D135" s="5">
        <v>1.5E-3</v>
      </c>
      <c r="F135" s="5">
        <f t="shared" si="4"/>
        <v>2.2799999999999999E-3</v>
      </c>
      <c r="G135" s="5">
        <f t="shared" si="6"/>
        <v>3.0600000000000002E-3</v>
      </c>
      <c r="H135" s="5">
        <f t="shared" si="6"/>
        <v>3.8399999999999997E-3</v>
      </c>
      <c r="I135" s="5">
        <f t="shared" si="6"/>
        <v>4.62E-3</v>
      </c>
      <c r="J135" s="5">
        <f t="shared" si="6"/>
        <v>5.3999999999999994E-3</v>
      </c>
      <c r="K135" s="5">
        <f t="shared" si="6"/>
        <v>6.1799999999999989E-3</v>
      </c>
      <c r="L135" s="5">
        <f t="shared" si="6"/>
        <v>6.9599999999999992E-3</v>
      </c>
      <c r="M135" s="5">
        <f t="shared" si="6"/>
        <v>7.7399999999999995E-3</v>
      </c>
      <c r="N135" s="5">
        <f t="shared" si="6"/>
        <v>8.5199999999999998E-3</v>
      </c>
      <c r="O135" s="5">
        <f t="shared" si="6"/>
        <v>9.2999999999999992E-3</v>
      </c>
    </row>
    <row r="136" spans="2:15" x14ac:dyDescent="0.3">
      <c r="B136" s="4">
        <v>45909</v>
      </c>
      <c r="C136" s="5">
        <v>-1.47E-2</v>
      </c>
      <c r="D136" s="5">
        <v>-1.2E-2</v>
      </c>
      <c r="F136" s="5">
        <f t="shared" ref="F136:F199" si="7">F$5*$C136+(1-F$5)*$D136</f>
        <v>-1.227E-2</v>
      </c>
      <c r="G136" s="5">
        <f t="shared" si="6"/>
        <v>-1.2540000000000001E-2</v>
      </c>
      <c r="H136" s="5">
        <f t="shared" si="6"/>
        <v>-1.2809999999999998E-2</v>
      </c>
      <c r="I136" s="5">
        <f t="shared" si="6"/>
        <v>-1.308E-2</v>
      </c>
      <c r="J136" s="5">
        <f t="shared" si="6"/>
        <v>-1.3350000000000001E-2</v>
      </c>
      <c r="K136" s="5">
        <f t="shared" si="6"/>
        <v>-1.362E-2</v>
      </c>
      <c r="L136" s="5">
        <f t="shared" si="6"/>
        <v>-1.389E-2</v>
      </c>
      <c r="M136" s="5">
        <f t="shared" si="6"/>
        <v>-1.4159999999999999E-2</v>
      </c>
      <c r="N136" s="5">
        <f t="shared" si="6"/>
        <v>-1.443E-2</v>
      </c>
      <c r="O136" s="5">
        <f t="shared" si="6"/>
        <v>-1.47E-2</v>
      </c>
    </row>
    <row r="137" spans="2:15" x14ac:dyDescent="0.3">
      <c r="B137" s="4">
        <v>45910</v>
      </c>
      <c r="C137" s="5">
        <v>-2.92E-2</v>
      </c>
      <c r="D137" s="5">
        <v>-4.0000000000000001E-3</v>
      </c>
      <c r="F137" s="5">
        <f t="shared" si="7"/>
        <v>-6.5200000000000006E-3</v>
      </c>
      <c r="G137" s="5">
        <f t="shared" si="6"/>
        <v>-9.0400000000000012E-3</v>
      </c>
      <c r="H137" s="5">
        <f t="shared" si="6"/>
        <v>-1.1560000000000001E-2</v>
      </c>
      <c r="I137" s="5">
        <f t="shared" si="6"/>
        <v>-1.4080000000000001E-2</v>
      </c>
      <c r="J137" s="5">
        <f t="shared" si="6"/>
        <v>-1.66E-2</v>
      </c>
      <c r="K137" s="5">
        <f t="shared" si="6"/>
        <v>-1.9120000000000002E-2</v>
      </c>
      <c r="L137" s="5">
        <f t="shared" si="6"/>
        <v>-2.164E-2</v>
      </c>
      <c r="M137" s="5">
        <f t="shared" si="6"/>
        <v>-2.4160000000000001E-2</v>
      </c>
      <c r="N137" s="5">
        <f t="shared" si="6"/>
        <v>-2.6680000000000002E-2</v>
      </c>
      <c r="O137" s="5">
        <f t="shared" si="6"/>
        <v>-2.92E-2</v>
      </c>
    </row>
    <row r="138" spans="2:15" x14ac:dyDescent="0.3">
      <c r="B138" s="4">
        <v>45911</v>
      </c>
      <c r="C138" s="5">
        <v>-5.0000000000000001E-4</v>
      </c>
      <c r="D138" s="5">
        <v>1.14E-2</v>
      </c>
      <c r="F138" s="5">
        <f t="shared" si="7"/>
        <v>1.021E-2</v>
      </c>
      <c r="G138" s="5">
        <f t="shared" si="6"/>
        <v>9.020000000000002E-3</v>
      </c>
      <c r="H138" s="5">
        <f t="shared" si="6"/>
        <v>7.8299999999999984E-3</v>
      </c>
      <c r="I138" s="5">
        <f t="shared" si="6"/>
        <v>6.6400000000000001E-3</v>
      </c>
      <c r="J138" s="5">
        <f t="shared" si="6"/>
        <v>5.45E-3</v>
      </c>
      <c r="K138" s="5">
        <f t="shared" si="6"/>
        <v>4.2600000000000008E-3</v>
      </c>
      <c r="L138" s="5">
        <f t="shared" si="6"/>
        <v>3.0700000000000007E-3</v>
      </c>
      <c r="M138" s="5">
        <f t="shared" si="6"/>
        <v>1.8799999999999995E-3</v>
      </c>
      <c r="N138" s="5">
        <f t="shared" si="6"/>
        <v>6.8999999999999964E-4</v>
      </c>
      <c r="O138" s="5">
        <f t="shared" si="6"/>
        <v>-5.0000000000000001E-4</v>
      </c>
    </row>
    <row r="139" spans="2:15" x14ac:dyDescent="0.3">
      <c r="B139" s="4">
        <v>45912</v>
      </c>
      <c r="C139" s="5">
        <v>-7.4000000000000003E-3</v>
      </c>
      <c r="D139" s="5">
        <v>-2.0400000000000001E-2</v>
      </c>
      <c r="F139" s="5">
        <f t="shared" si="7"/>
        <v>-1.9100000000000002E-2</v>
      </c>
      <c r="G139" s="5">
        <f t="shared" si="6"/>
        <v>-1.78E-2</v>
      </c>
      <c r="H139" s="5">
        <f t="shared" si="6"/>
        <v>-1.6500000000000001E-2</v>
      </c>
      <c r="I139" s="5">
        <f t="shared" si="6"/>
        <v>-1.5200000000000002E-2</v>
      </c>
      <c r="J139" s="5">
        <f t="shared" si="6"/>
        <v>-1.3900000000000001E-2</v>
      </c>
      <c r="K139" s="5">
        <f t="shared" si="6"/>
        <v>-1.26E-2</v>
      </c>
      <c r="L139" s="5">
        <f t="shared" si="6"/>
        <v>-1.1300000000000001E-2</v>
      </c>
      <c r="M139" s="5">
        <f t="shared" si="6"/>
        <v>-0.01</v>
      </c>
      <c r="N139" s="5">
        <f t="shared" si="6"/>
        <v>-8.6999999999999994E-3</v>
      </c>
      <c r="O139" s="5">
        <f t="shared" si="6"/>
        <v>-7.4000000000000003E-3</v>
      </c>
    </row>
    <row r="140" spans="2:15" x14ac:dyDescent="0.3">
      <c r="B140" s="4">
        <v>45915</v>
      </c>
      <c r="C140" s="5">
        <v>1.0200000000000001E-2</v>
      </c>
      <c r="D140" s="5">
        <v>5.8999999999999999E-3</v>
      </c>
      <c r="F140" s="5">
        <f t="shared" si="7"/>
        <v>6.3299999999999997E-3</v>
      </c>
      <c r="G140" s="5">
        <f t="shared" si="6"/>
        <v>6.7600000000000004E-3</v>
      </c>
      <c r="H140" s="5">
        <f t="shared" si="6"/>
        <v>7.1900000000000002E-3</v>
      </c>
      <c r="I140" s="5">
        <f t="shared" si="6"/>
        <v>7.62E-3</v>
      </c>
      <c r="J140" s="5">
        <f t="shared" si="6"/>
        <v>8.0499999999999999E-3</v>
      </c>
      <c r="K140" s="5">
        <f t="shared" si="6"/>
        <v>8.4800000000000014E-3</v>
      </c>
      <c r="L140" s="5">
        <f t="shared" si="6"/>
        <v>8.9099999999999995E-3</v>
      </c>
      <c r="M140" s="5">
        <f t="shared" si="6"/>
        <v>9.3400000000000011E-3</v>
      </c>
      <c r="N140" s="5">
        <f t="shared" si="6"/>
        <v>9.7700000000000009E-3</v>
      </c>
      <c r="O140" s="5">
        <f t="shared" si="6"/>
        <v>1.0200000000000001E-2</v>
      </c>
    </row>
    <row r="141" spans="2:15" x14ac:dyDescent="0.3">
      <c r="B141" s="4">
        <v>45916</v>
      </c>
      <c r="C141" s="5">
        <v>2.9100000000000001E-2</v>
      </c>
      <c r="D141" s="5">
        <v>1.24E-2</v>
      </c>
      <c r="F141" s="5">
        <f t="shared" si="7"/>
        <v>1.4069999999999999E-2</v>
      </c>
      <c r="G141" s="5">
        <f t="shared" si="6"/>
        <v>1.5740000000000001E-2</v>
      </c>
      <c r="H141" s="5">
        <f t="shared" si="6"/>
        <v>1.7409999999999998E-2</v>
      </c>
      <c r="I141" s="5">
        <f t="shared" si="6"/>
        <v>1.908E-2</v>
      </c>
      <c r="J141" s="5">
        <f t="shared" si="6"/>
        <v>2.0750000000000001E-2</v>
      </c>
      <c r="K141" s="5">
        <f t="shared" si="6"/>
        <v>2.2419999999999999E-2</v>
      </c>
      <c r="L141" s="5">
        <f t="shared" si="6"/>
        <v>2.409E-2</v>
      </c>
      <c r="M141" s="5">
        <f t="shared" si="6"/>
        <v>2.5760000000000002E-2</v>
      </c>
      <c r="N141" s="5">
        <f t="shared" si="6"/>
        <v>2.7430000000000003E-2</v>
      </c>
      <c r="O141" s="5">
        <f t="shared" si="6"/>
        <v>2.9100000000000001E-2</v>
      </c>
    </row>
    <row r="142" spans="2:15" x14ac:dyDescent="0.3">
      <c r="B142" s="4">
        <v>45917</v>
      </c>
      <c r="C142" s="5">
        <v>8.6E-3</v>
      </c>
      <c r="D142" s="5">
        <v>2.8999999999999998E-3</v>
      </c>
      <c r="F142" s="5">
        <f t="shared" si="7"/>
        <v>3.47E-3</v>
      </c>
      <c r="G142" s="5">
        <f t="shared" si="6"/>
        <v>4.0400000000000002E-3</v>
      </c>
      <c r="H142" s="5">
        <f t="shared" si="6"/>
        <v>4.6099999999999995E-3</v>
      </c>
      <c r="I142" s="5">
        <f t="shared" si="6"/>
        <v>5.1800000000000006E-3</v>
      </c>
      <c r="J142" s="5">
        <f t="shared" si="6"/>
        <v>5.7499999999999999E-3</v>
      </c>
      <c r="K142" s="5">
        <f t="shared" si="6"/>
        <v>6.3199999999999992E-3</v>
      </c>
      <c r="L142" s="5">
        <f t="shared" si="6"/>
        <v>6.8899999999999994E-3</v>
      </c>
      <c r="M142" s="5">
        <f t="shared" si="6"/>
        <v>7.4600000000000005E-3</v>
      </c>
      <c r="N142" s="5">
        <f t="shared" si="6"/>
        <v>8.0300000000000007E-3</v>
      </c>
      <c r="O142" s="5">
        <f t="shared" si="6"/>
        <v>8.6E-3</v>
      </c>
    </row>
    <row r="143" spans="2:15" x14ac:dyDescent="0.3">
      <c r="B143" s="4">
        <v>45918</v>
      </c>
      <c r="C143" s="5">
        <v>8.0999999999999996E-3</v>
      </c>
      <c r="D143" s="5">
        <v>2.92E-2</v>
      </c>
      <c r="F143" s="5">
        <f t="shared" si="7"/>
        <v>2.7090000000000003E-2</v>
      </c>
      <c r="G143" s="5">
        <f t="shared" si="6"/>
        <v>2.4980000000000002E-2</v>
      </c>
      <c r="H143" s="5">
        <f t="shared" si="6"/>
        <v>2.2870000000000001E-2</v>
      </c>
      <c r="I143" s="5">
        <f t="shared" si="6"/>
        <v>2.0760000000000001E-2</v>
      </c>
      <c r="J143" s="5">
        <f t="shared" si="6"/>
        <v>1.865E-2</v>
      </c>
      <c r="K143" s="5">
        <f t="shared" si="6"/>
        <v>1.6539999999999999E-2</v>
      </c>
      <c r="L143" s="5">
        <f t="shared" si="6"/>
        <v>1.4430000000000002E-2</v>
      </c>
      <c r="M143" s="5">
        <f t="shared" si="6"/>
        <v>1.2319999999999998E-2</v>
      </c>
      <c r="N143" s="5">
        <f t="shared" si="6"/>
        <v>1.0209999999999999E-2</v>
      </c>
      <c r="O143" s="5">
        <f t="shared" si="6"/>
        <v>8.0999999999999996E-3</v>
      </c>
    </row>
    <row r="144" spans="2:15" x14ac:dyDescent="0.3">
      <c r="B144" s="4">
        <v>45919</v>
      </c>
      <c r="C144" s="5">
        <v>3.1399999999999997E-2</v>
      </c>
      <c r="D144" s="5">
        <v>-3.8E-3</v>
      </c>
      <c r="F144" s="5">
        <f t="shared" si="7"/>
        <v>-2.7999999999999987E-4</v>
      </c>
      <c r="G144" s="5">
        <f t="shared" si="6"/>
        <v>3.2399999999999998E-3</v>
      </c>
      <c r="H144" s="5">
        <f t="shared" si="6"/>
        <v>6.7599999999999995E-3</v>
      </c>
      <c r="I144" s="5">
        <f t="shared" si="6"/>
        <v>1.0280000000000001E-2</v>
      </c>
      <c r="J144" s="5">
        <f t="shared" si="6"/>
        <v>1.3799999999999998E-2</v>
      </c>
      <c r="K144" s="5">
        <f t="shared" si="6"/>
        <v>1.7319999999999999E-2</v>
      </c>
      <c r="L144" s="5">
        <f t="shared" si="6"/>
        <v>2.0839999999999997E-2</v>
      </c>
      <c r="M144" s="5">
        <f t="shared" si="6"/>
        <v>2.436E-2</v>
      </c>
      <c r="N144" s="5">
        <f t="shared" si="6"/>
        <v>2.7879999999999999E-2</v>
      </c>
      <c r="O144" s="5">
        <f t="shared" si="6"/>
        <v>3.1399999999999997E-2</v>
      </c>
    </row>
    <row r="145" spans="2:15" x14ac:dyDescent="0.3">
      <c r="B145" s="4">
        <v>45922</v>
      </c>
      <c r="C145" s="5">
        <v>-1.9400000000000001E-2</v>
      </c>
      <c r="D145" s="5">
        <v>1.5699999999999999E-2</v>
      </c>
      <c r="F145" s="5">
        <f t="shared" si="7"/>
        <v>1.2189999999999998E-2</v>
      </c>
      <c r="G145" s="5">
        <f t="shared" si="6"/>
        <v>8.6800000000000002E-3</v>
      </c>
      <c r="H145" s="5">
        <f t="shared" si="6"/>
        <v>5.1699999999999984E-3</v>
      </c>
      <c r="I145" s="5">
        <f t="shared" si="6"/>
        <v>1.6599999999999991E-3</v>
      </c>
      <c r="J145" s="5">
        <f t="shared" si="6"/>
        <v>-1.8500000000000009E-3</v>
      </c>
      <c r="K145" s="5">
        <f t="shared" si="6"/>
        <v>-5.3599999999999993E-3</v>
      </c>
      <c r="L145" s="5">
        <f t="shared" si="6"/>
        <v>-8.8699999999999994E-3</v>
      </c>
      <c r="M145" s="5">
        <f t="shared" si="6"/>
        <v>-1.2380000000000002E-2</v>
      </c>
      <c r="N145" s="5">
        <f t="shared" si="6"/>
        <v>-1.5890000000000001E-2</v>
      </c>
      <c r="O145" s="5">
        <f t="shared" si="6"/>
        <v>-1.9400000000000001E-2</v>
      </c>
    </row>
    <row r="146" spans="2:15" x14ac:dyDescent="0.3">
      <c r="B146" s="4">
        <v>45923</v>
      </c>
      <c r="C146" s="5">
        <v>-8.0000000000000004E-4</v>
      </c>
      <c r="D146" s="5">
        <v>-1.0200000000000001E-2</v>
      </c>
      <c r="F146" s="5">
        <f t="shared" si="7"/>
        <v>-9.2600000000000009E-3</v>
      </c>
      <c r="G146" s="5">
        <f t="shared" si="6"/>
        <v>-8.320000000000001E-3</v>
      </c>
      <c r="H146" s="5">
        <f t="shared" si="6"/>
        <v>-7.3799999999999994E-3</v>
      </c>
      <c r="I146" s="5">
        <f t="shared" si="6"/>
        <v>-6.4400000000000004E-3</v>
      </c>
      <c r="J146" s="5">
        <f t="shared" si="6"/>
        <v>-5.5000000000000005E-3</v>
      </c>
      <c r="K146" s="5">
        <f t="shared" si="6"/>
        <v>-4.5600000000000007E-3</v>
      </c>
      <c r="L146" s="5">
        <f t="shared" si="6"/>
        <v>-3.6200000000000008E-3</v>
      </c>
      <c r="M146" s="5">
        <f t="shared" si="6"/>
        <v>-2.6799999999999997E-3</v>
      </c>
      <c r="N146" s="5">
        <f t="shared" si="6"/>
        <v>-1.7399999999999998E-3</v>
      </c>
      <c r="O146" s="5">
        <f t="shared" si="6"/>
        <v>-8.0000000000000004E-4</v>
      </c>
    </row>
    <row r="147" spans="2:15" x14ac:dyDescent="0.3">
      <c r="B147" s="4">
        <v>45924</v>
      </c>
      <c r="C147" s="5">
        <v>-2.3900000000000001E-2</v>
      </c>
      <c r="D147" s="5">
        <v>-7.4999999999999997E-3</v>
      </c>
      <c r="F147" s="5">
        <f t="shared" si="7"/>
        <v>-9.1400000000000006E-3</v>
      </c>
      <c r="G147" s="5">
        <f t="shared" si="6"/>
        <v>-1.0780000000000001E-2</v>
      </c>
      <c r="H147" s="5">
        <f t="shared" si="6"/>
        <v>-1.242E-2</v>
      </c>
      <c r="I147" s="5">
        <f t="shared" si="6"/>
        <v>-1.406E-2</v>
      </c>
      <c r="J147" s="5">
        <f t="shared" si="6"/>
        <v>-1.5699999999999999E-2</v>
      </c>
      <c r="K147" s="5">
        <f t="shared" si="6"/>
        <v>-1.7340000000000001E-2</v>
      </c>
      <c r="L147" s="5">
        <f t="shared" si="6"/>
        <v>-1.8979999999999997E-2</v>
      </c>
      <c r="M147" s="5">
        <f t="shared" si="6"/>
        <v>-2.0619999999999999E-2</v>
      </c>
      <c r="N147" s="5">
        <f t="shared" si="6"/>
        <v>-2.2260000000000002E-2</v>
      </c>
      <c r="O147" s="5">
        <f t="shared" si="6"/>
        <v>-2.3900000000000001E-2</v>
      </c>
    </row>
    <row r="148" spans="2:15" x14ac:dyDescent="0.3">
      <c r="B148" s="4">
        <v>45925</v>
      </c>
      <c r="C148" s="5">
        <v>-2.8199999999999999E-2</v>
      </c>
      <c r="D148" s="5">
        <v>-1.06E-2</v>
      </c>
      <c r="F148" s="5">
        <f t="shared" si="7"/>
        <v>-1.2359999999999999E-2</v>
      </c>
      <c r="G148" s="5">
        <f t="shared" si="6"/>
        <v>-1.4120000000000001E-2</v>
      </c>
      <c r="H148" s="5">
        <f t="shared" si="6"/>
        <v>-1.5879999999999998E-2</v>
      </c>
      <c r="I148" s="5">
        <f t="shared" si="6"/>
        <v>-1.7639999999999999E-2</v>
      </c>
      <c r="J148" s="5">
        <f t="shared" si="6"/>
        <v>-1.9400000000000001E-2</v>
      </c>
      <c r="K148" s="5">
        <f t="shared" si="6"/>
        <v>-2.1159999999999998E-2</v>
      </c>
      <c r="L148" s="5">
        <f t="shared" si="6"/>
        <v>-2.2919999999999996E-2</v>
      </c>
      <c r="M148" s="5">
        <f t="shared" si="6"/>
        <v>-2.4680000000000001E-2</v>
      </c>
      <c r="N148" s="5">
        <f t="shared" si="6"/>
        <v>-2.6439999999999998E-2</v>
      </c>
      <c r="O148" s="5">
        <f t="shared" si="6"/>
        <v>-2.8199999999999999E-2</v>
      </c>
    </row>
    <row r="149" spans="2:15" x14ac:dyDescent="0.3">
      <c r="B149" s="4">
        <v>45926</v>
      </c>
      <c r="C149" s="5">
        <v>-1.2800000000000001E-2</v>
      </c>
      <c r="D149" s="5">
        <v>-3.39E-2</v>
      </c>
      <c r="F149" s="5">
        <f t="shared" si="7"/>
        <v>-3.1789999999999999E-2</v>
      </c>
      <c r="G149" s="5">
        <f t="shared" si="6"/>
        <v>-2.9680000000000002E-2</v>
      </c>
      <c r="H149" s="5">
        <f t="shared" si="6"/>
        <v>-2.7569999999999997E-2</v>
      </c>
      <c r="I149" s="5">
        <f t="shared" si="6"/>
        <v>-2.546E-2</v>
      </c>
      <c r="J149" s="5">
        <f t="shared" si="6"/>
        <v>-2.3349999999999999E-2</v>
      </c>
      <c r="K149" s="5">
        <f t="shared" si="6"/>
        <v>-2.1240000000000002E-2</v>
      </c>
      <c r="L149" s="5">
        <f t="shared" si="6"/>
        <v>-1.9130000000000001E-2</v>
      </c>
      <c r="M149" s="5">
        <f t="shared" si="6"/>
        <v>-1.702E-2</v>
      </c>
      <c r="N149" s="5">
        <f t="shared" si="6"/>
        <v>-1.491E-2</v>
      </c>
      <c r="O149" s="5">
        <f t="shared" si="6"/>
        <v>-1.2800000000000001E-2</v>
      </c>
    </row>
    <row r="150" spans="2:15" x14ac:dyDescent="0.3">
      <c r="B150" s="4">
        <v>45929</v>
      </c>
      <c r="C150" s="5">
        <v>-9.9000000000000008E-3</v>
      </c>
      <c r="D150" s="5">
        <v>1.2E-2</v>
      </c>
      <c r="F150" s="5">
        <f t="shared" si="7"/>
        <v>9.810000000000001E-3</v>
      </c>
      <c r="G150" s="5">
        <f t="shared" si="6"/>
        <v>7.62E-3</v>
      </c>
      <c r="H150" s="5">
        <f t="shared" si="6"/>
        <v>5.4299999999999991E-3</v>
      </c>
      <c r="I150" s="5">
        <f t="shared" si="6"/>
        <v>3.239999999999999E-3</v>
      </c>
      <c r="J150" s="5">
        <f t="shared" si="6"/>
        <v>1.0499999999999997E-3</v>
      </c>
      <c r="K150" s="5">
        <f t="shared" si="6"/>
        <v>-1.1399999999999995E-3</v>
      </c>
      <c r="L150" s="5">
        <f t="shared" si="6"/>
        <v>-3.3299999999999996E-3</v>
      </c>
      <c r="M150" s="5">
        <f t="shared" si="6"/>
        <v>-5.5200000000000023E-3</v>
      </c>
      <c r="N150" s="5">
        <f t="shared" si="6"/>
        <v>-7.7100000000000016E-3</v>
      </c>
      <c r="O150" s="5">
        <f t="shared" si="6"/>
        <v>-9.9000000000000008E-3</v>
      </c>
    </row>
    <row r="151" spans="2:15" x14ac:dyDescent="0.3">
      <c r="B151" s="4">
        <v>45930</v>
      </c>
      <c r="C151" s="5">
        <v>1.55E-2</v>
      </c>
      <c r="D151" s="5">
        <v>2E-3</v>
      </c>
      <c r="F151" s="5">
        <f t="shared" si="7"/>
        <v>3.3500000000000005E-3</v>
      </c>
      <c r="G151" s="5">
        <f t="shared" si="6"/>
        <v>4.7000000000000002E-3</v>
      </c>
      <c r="H151" s="5">
        <f t="shared" si="6"/>
        <v>6.0499999999999998E-3</v>
      </c>
      <c r="I151" s="5">
        <f t="shared" si="6"/>
        <v>7.4000000000000003E-3</v>
      </c>
      <c r="J151" s="5">
        <f t="shared" si="6"/>
        <v>8.7500000000000008E-3</v>
      </c>
      <c r="K151" s="5">
        <f t="shared" si="6"/>
        <v>1.01E-2</v>
      </c>
      <c r="L151" s="5">
        <f t="shared" si="6"/>
        <v>1.1449999999999998E-2</v>
      </c>
      <c r="M151" s="5">
        <f t="shared" si="6"/>
        <v>1.2800000000000001E-2</v>
      </c>
      <c r="N151" s="5">
        <f t="shared" si="6"/>
        <v>1.4150000000000001E-2</v>
      </c>
      <c r="O151" s="5">
        <f t="shared" si="6"/>
        <v>1.55E-2</v>
      </c>
    </row>
    <row r="152" spans="2:15" x14ac:dyDescent="0.3">
      <c r="B152" s="4">
        <v>45931</v>
      </c>
      <c r="C152" s="5">
        <v>-1.23E-2</v>
      </c>
      <c r="D152" s="5">
        <v>1.0800000000000001E-2</v>
      </c>
      <c r="F152" s="5">
        <f t="shared" si="7"/>
        <v>8.490000000000001E-3</v>
      </c>
      <c r="G152" s="5">
        <f t="shared" si="6"/>
        <v>6.1799999999999997E-3</v>
      </c>
      <c r="H152" s="5">
        <f t="shared" si="6"/>
        <v>3.8700000000000002E-3</v>
      </c>
      <c r="I152" s="5">
        <f t="shared" si="6"/>
        <v>1.5599999999999998E-3</v>
      </c>
      <c r="J152" s="5">
        <f t="shared" si="6"/>
        <v>-7.499999999999998E-4</v>
      </c>
      <c r="K152" s="5">
        <f t="shared" si="6"/>
        <v>-3.0599999999999994E-3</v>
      </c>
      <c r="L152" s="5">
        <f t="shared" si="6"/>
        <v>-5.3699999999999989E-3</v>
      </c>
      <c r="M152" s="5">
        <f t="shared" si="6"/>
        <v>-7.6800000000000019E-3</v>
      </c>
      <c r="N152" s="5">
        <f t="shared" si="6"/>
        <v>-9.9900000000000006E-3</v>
      </c>
      <c r="O152" s="5">
        <f t="shared" si="6"/>
        <v>-1.23E-2</v>
      </c>
    </row>
    <row r="153" spans="2:15" x14ac:dyDescent="0.3">
      <c r="B153" s="4">
        <v>45933</v>
      </c>
      <c r="C153" s="5">
        <v>-9.2999999999999992E-3</v>
      </c>
      <c r="D153" s="5">
        <v>-1.6999999999999999E-3</v>
      </c>
      <c r="F153" s="5">
        <f t="shared" si="7"/>
        <v>-2.4599999999999999E-3</v>
      </c>
      <c r="G153" s="5">
        <f t="shared" si="6"/>
        <v>-3.2199999999999998E-3</v>
      </c>
      <c r="H153" s="5">
        <f t="shared" si="6"/>
        <v>-3.9799999999999992E-3</v>
      </c>
      <c r="I153" s="5">
        <f t="shared" si="6"/>
        <v>-4.7399999999999994E-3</v>
      </c>
      <c r="J153" s="5">
        <f t="shared" si="6"/>
        <v>-5.4999999999999997E-3</v>
      </c>
      <c r="K153" s="5">
        <f t="shared" si="6"/>
        <v>-6.2599999999999991E-3</v>
      </c>
      <c r="L153" s="5">
        <f t="shared" si="6"/>
        <v>-7.0199999999999993E-3</v>
      </c>
      <c r="M153" s="5">
        <f t="shared" si="6"/>
        <v>-7.7799999999999996E-3</v>
      </c>
      <c r="N153" s="5">
        <f t="shared" si="6"/>
        <v>-8.539999999999999E-3</v>
      </c>
      <c r="O153" s="5">
        <f t="shared" si="6"/>
        <v>-9.2999999999999992E-3</v>
      </c>
    </row>
    <row r="154" spans="2:15" x14ac:dyDescent="0.3">
      <c r="B154" s="4">
        <v>45936</v>
      </c>
      <c r="C154" s="5">
        <v>1.8599999999999998E-2</v>
      </c>
      <c r="D154" s="5">
        <v>2.0199999999999999E-2</v>
      </c>
      <c r="F154" s="5">
        <f t="shared" si="7"/>
        <v>2.0039999999999999E-2</v>
      </c>
      <c r="G154" s="5">
        <f t="shared" si="6"/>
        <v>1.9880000000000002E-2</v>
      </c>
      <c r="H154" s="5">
        <f t="shared" si="6"/>
        <v>1.9719999999999998E-2</v>
      </c>
      <c r="I154" s="5">
        <f t="shared" si="6"/>
        <v>1.9559999999999998E-2</v>
      </c>
      <c r="J154" s="5">
        <f t="shared" si="6"/>
        <v>1.9400000000000001E-2</v>
      </c>
      <c r="K154" s="5">
        <f t="shared" si="6"/>
        <v>1.924E-2</v>
      </c>
      <c r="L154" s="5">
        <f t="shared" si="6"/>
        <v>1.908E-2</v>
      </c>
      <c r="M154" s="5">
        <f t="shared" si="6"/>
        <v>1.8919999999999999E-2</v>
      </c>
      <c r="N154" s="5">
        <f t="shared" si="6"/>
        <v>1.8759999999999999E-2</v>
      </c>
      <c r="O154" s="5">
        <f t="shared" si="6"/>
        <v>1.8599999999999998E-2</v>
      </c>
    </row>
    <row r="155" spans="2:15" x14ac:dyDescent="0.3">
      <c r="B155" s="4">
        <v>45937</v>
      </c>
      <c r="C155" s="5">
        <v>-1.9E-3</v>
      </c>
      <c r="D155" s="5">
        <v>8.2000000000000007E-3</v>
      </c>
      <c r="F155" s="5">
        <f t="shared" si="7"/>
        <v>7.1900000000000011E-3</v>
      </c>
      <c r="G155" s="5">
        <f t="shared" si="6"/>
        <v>6.1800000000000006E-3</v>
      </c>
      <c r="H155" s="5">
        <f t="shared" si="6"/>
        <v>5.1700000000000001E-3</v>
      </c>
      <c r="I155" s="5">
        <f t="shared" si="6"/>
        <v>4.1599999999999996E-3</v>
      </c>
      <c r="J155" s="5">
        <f t="shared" si="6"/>
        <v>3.1500000000000005E-3</v>
      </c>
      <c r="K155" s="5">
        <f t="shared" si="6"/>
        <v>2.1400000000000004E-3</v>
      </c>
      <c r="L155" s="5">
        <f t="shared" si="6"/>
        <v>1.1300000000000004E-3</v>
      </c>
      <c r="M155" s="5">
        <f t="shared" si="6"/>
        <v>1.1999999999999966E-4</v>
      </c>
      <c r="N155" s="5">
        <f t="shared" si="6"/>
        <v>-8.9000000000000006E-4</v>
      </c>
      <c r="O155" s="5">
        <f t="shared" si="6"/>
        <v>-1.9E-3</v>
      </c>
    </row>
    <row r="156" spans="2:15" x14ac:dyDescent="0.3">
      <c r="B156" s="4">
        <v>45938</v>
      </c>
      <c r="C156" s="5">
        <v>4.0000000000000002E-4</v>
      </c>
      <c r="D156" s="5">
        <v>1.12E-2</v>
      </c>
      <c r="F156" s="5">
        <f t="shared" si="7"/>
        <v>1.0120000000000001E-2</v>
      </c>
      <c r="G156" s="5">
        <f t="shared" si="6"/>
        <v>9.0400000000000012E-3</v>
      </c>
      <c r="H156" s="5">
        <f t="shared" si="6"/>
        <v>7.9600000000000001E-3</v>
      </c>
      <c r="I156" s="5">
        <f t="shared" si="6"/>
        <v>6.8799999999999998E-3</v>
      </c>
      <c r="J156" s="5">
        <f t="shared" si="6"/>
        <v>5.7999999999999996E-3</v>
      </c>
      <c r="K156" s="5">
        <f t="shared" ref="G156:O184" si="8">K$5*$C156+(1-K$5)*$D156</f>
        <v>4.7200000000000002E-3</v>
      </c>
      <c r="L156" s="5">
        <f t="shared" si="8"/>
        <v>3.6400000000000004E-3</v>
      </c>
      <c r="M156" s="5">
        <f t="shared" si="8"/>
        <v>2.5599999999999993E-3</v>
      </c>
      <c r="N156" s="5">
        <f t="shared" si="8"/>
        <v>1.4799999999999998E-3</v>
      </c>
      <c r="O156" s="5">
        <f t="shared" si="8"/>
        <v>4.0000000000000002E-4</v>
      </c>
    </row>
    <row r="157" spans="2:15" x14ac:dyDescent="0.3">
      <c r="B157" s="4">
        <v>45939</v>
      </c>
      <c r="C157" s="5">
        <v>3.7999999999999999E-2</v>
      </c>
      <c r="D157" s="5">
        <v>1.1299999999999999E-2</v>
      </c>
      <c r="F157" s="5">
        <f t="shared" si="7"/>
        <v>1.397E-2</v>
      </c>
      <c r="G157" s="5">
        <f t="shared" si="8"/>
        <v>1.6639999999999999E-2</v>
      </c>
      <c r="H157" s="5">
        <f t="shared" si="8"/>
        <v>1.9309999999999997E-2</v>
      </c>
      <c r="I157" s="5">
        <f t="shared" si="8"/>
        <v>2.198E-2</v>
      </c>
      <c r="J157" s="5">
        <f t="shared" si="8"/>
        <v>2.4649999999999998E-2</v>
      </c>
      <c r="K157" s="5">
        <f t="shared" si="8"/>
        <v>2.7319999999999997E-2</v>
      </c>
      <c r="L157" s="5">
        <f t="shared" si="8"/>
        <v>2.9989999999999999E-2</v>
      </c>
      <c r="M157" s="5">
        <f t="shared" si="8"/>
        <v>3.2660000000000002E-2</v>
      </c>
      <c r="N157" s="5">
        <f t="shared" si="8"/>
        <v>3.533E-2</v>
      </c>
      <c r="O157" s="5">
        <f t="shared" si="8"/>
        <v>3.7999999999999999E-2</v>
      </c>
    </row>
    <row r="158" spans="2:15" x14ac:dyDescent="0.3">
      <c r="B158" s="4">
        <v>45940</v>
      </c>
      <c r="C158" s="5">
        <v>-3.0999999999999999E-3</v>
      </c>
      <c r="D158" s="5">
        <v>8.0999999999999996E-3</v>
      </c>
      <c r="F158" s="5">
        <f t="shared" si="7"/>
        <v>6.9799999999999992E-3</v>
      </c>
      <c r="G158" s="5">
        <f t="shared" si="8"/>
        <v>5.8599999999999998E-3</v>
      </c>
      <c r="H158" s="5">
        <f t="shared" si="8"/>
        <v>4.7399999999999994E-3</v>
      </c>
      <c r="I158" s="5">
        <f t="shared" si="8"/>
        <v>3.62E-3</v>
      </c>
      <c r="J158" s="5">
        <f t="shared" si="8"/>
        <v>2.4999999999999996E-3</v>
      </c>
      <c r="K158" s="5">
        <f t="shared" si="8"/>
        <v>1.3799999999999999E-3</v>
      </c>
      <c r="L158" s="5">
        <f t="shared" si="8"/>
        <v>2.6000000000000068E-4</v>
      </c>
      <c r="M158" s="5">
        <f t="shared" si="8"/>
        <v>-8.6000000000000052E-4</v>
      </c>
      <c r="N158" s="5">
        <f t="shared" si="8"/>
        <v>-1.98E-3</v>
      </c>
      <c r="O158" s="5">
        <f t="shared" si="8"/>
        <v>-3.0999999999999999E-3</v>
      </c>
    </row>
    <row r="159" spans="2:15" x14ac:dyDescent="0.3">
      <c r="B159" s="4">
        <v>45943</v>
      </c>
      <c r="C159" s="5">
        <v>-1.6999999999999999E-3</v>
      </c>
      <c r="D159" s="5">
        <v>1E-4</v>
      </c>
      <c r="F159" s="5">
        <f t="shared" si="7"/>
        <v>-8.0000000000000007E-5</v>
      </c>
      <c r="G159" s="5">
        <f t="shared" si="8"/>
        <v>-2.6000000000000003E-4</v>
      </c>
      <c r="H159" s="5">
        <f t="shared" si="8"/>
        <v>-4.3999999999999996E-4</v>
      </c>
      <c r="I159" s="5">
        <f t="shared" si="8"/>
        <v>-6.2E-4</v>
      </c>
      <c r="J159" s="5">
        <f t="shared" si="8"/>
        <v>-7.9999999999999993E-4</v>
      </c>
      <c r="K159" s="5">
        <f t="shared" si="8"/>
        <v>-9.7999999999999975E-4</v>
      </c>
      <c r="L159" s="5">
        <f t="shared" si="8"/>
        <v>-1.1599999999999998E-3</v>
      </c>
      <c r="M159" s="5">
        <f t="shared" si="8"/>
        <v>-1.34E-3</v>
      </c>
      <c r="N159" s="5">
        <f t="shared" si="8"/>
        <v>-1.5199999999999999E-3</v>
      </c>
      <c r="O159" s="5">
        <f t="shared" si="8"/>
        <v>-1.6999999999999999E-3</v>
      </c>
    </row>
    <row r="160" spans="2:15" x14ac:dyDescent="0.3">
      <c r="B160" s="4">
        <v>45944</v>
      </c>
      <c r="C160" s="5">
        <v>1.23E-2</v>
      </c>
      <c r="D160" s="5">
        <v>-1.6999999999999999E-3</v>
      </c>
      <c r="F160" s="5">
        <f t="shared" si="7"/>
        <v>-2.999999999999997E-4</v>
      </c>
      <c r="G160" s="5">
        <f t="shared" si="8"/>
        <v>1.1000000000000003E-3</v>
      </c>
      <c r="H160" s="5">
        <f t="shared" si="8"/>
        <v>2.4999999999999996E-3</v>
      </c>
      <c r="I160" s="5">
        <f t="shared" si="8"/>
        <v>3.9000000000000007E-3</v>
      </c>
      <c r="J160" s="5">
        <f t="shared" si="8"/>
        <v>5.3E-3</v>
      </c>
      <c r="K160" s="5">
        <f t="shared" si="8"/>
        <v>6.6999999999999994E-3</v>
      </c>
      <c r="L160" s="5">
        <f t="shared" si="8"/>
        <v>8.0999999999999996E-3</v>
      </c>
      <c r="M160" s="5">
        <f t="shared" si="8"/>
        <v>9.5000000000000015E-3</v>
      </c>
      <c r="N160" s="5">
        <f t="shared" si="8"/>
        <v>1.09E-2</v>
      </c>
      <c r="O160" s="5">
        <f t="shared" si="8"/>
        <v>1.23E-2</v>
      </c>
    </row>
    <row r="161" spans="2:15" x14ac:dyDescent="0.3">
      <c r="B161" s="4">
        <v>45945</v>
      </c>
      <c r="C161" s="5">
        <v>5.7999999999999996E-3</v>
      </c>
      <c r="D161" s="5">
        <v>1.9E-2</v>
      </c>
      <c r="F161" s="5">
        <f t="shared" si="7"/>
        <v>1.7680000000000001E-2</v>
      </c>
      <c r="G161" s="5">
        <f t="shared" si="8"/>
        <v>1.636E-2</v>
      </c>
      <c r="H161" s="5">
        <f t="shared" si="8"/>
        <v>1.504E-2</v>
      </c>
      <c r="I161" s="5">
        <f t="shared" si="8"/>
        <v>1.372E-2</v>
      </c>
      <c r="J161" s="5">
        <f t="shared" si="8"/>
        <v>1.24E-2</v>
      </c>
      <c r="K161" s="5">
        <f t="shared" si="8"/>
        <v>1.108E-2</v>
      </c>
      <c r="L161" s="5">
        <f t="shared" si="8"/>
        <v>9.7600000000000013E-3</v>
      </c>
      <c r="M161" s="5">
        <f t="shared" si="8"/>
        <v>8.4399999999999996E-3</v>
      </c>
      <c r="N161" s="5">
        <f t="shared" si="8"/>
        <v>7.1199999999999996E-3</v>
      </c>
      <c r="O161" s="5">
        <f t="shared" si="8"/>
        <v>5.7999999999999996E-3</v>
      </c>
    </row>
    <row r="162" spans="2:15" x14ac:dyDescent="0.3">
      <c r="B162" s="4">
        <v>45946</v>
      </c>
      <c r="C162" s="5">
        <v>1.29E-2</v>
      </c>
      <c r="D162" s="5">
        <v>-1.83E-2</v>
      </c>
      <c r="F162" s="5">
        <f t="shared" si="7"/>
        <v>-1.5180000000000003E-2</v>
      </c>
      <c r="G162" s="5">
        <f t="shared" si="8"/>
        <v>-1.206E-2</v>
      </c>
      <c r="H162" s="5">
        <f t="shared" si="8"/>
        <v>-8.94E-3</v>
      </c>
      <c r="I162" s="5">
        <f t="shared" si="8"/>
        <v>-5.8199999999999997E-3</v>
      </c>
      <c r="J162" s="5">
        <f t="shared" si="8"/>
        <v>-2.7000000000000001E-3</v>
      </c>
      <c r="K162" s="5">
        <f t="shared" si="8"/>
        <v>4.1999999999999937E-4</v>
      </c>
      <c r="L162" s="5">
        <f t="shared" si="8"/>
        <v>3.5399999999999989E-3</v>
      </c>
      <c r="M162" s="5">
        <f t="shared" si="8"/>
        <v>6.6600000000000019E-3</v>
      </c>
      <c r="N162" s="5">
        <f t="shared" si="8"/>
        <v>9.7800000000000005E-3</v>
      </c>
      <c r="O162" s="5">
        <f t="shared" si="8"/>
        <v>1.29E-2</v>
      </c>
    </row>
    <row r="163" spans="2:15" x14ac:dyDescent="0.3">
      <c r="B163" s="4">
        <v>45947</v>
      </c>
      <c r="C163" s="5">
        <v>-3.6200000000000003E-2</v>
      </c>
      <c r="D163" s="5">
        <v>-1.49E-2</v>
      </c>
      <c r="F163" s="5">
        <f t="shared" si="7"/>
        <v>-1.703E-2</v>
      </c>
      <c r="G163" s="5">
        <f t="shared" si="8"/>
        <v>-1.916E-2</v>
      </c>
      <c r="H163" s="5">
        <f t="shared" si="8"/>
        <v>-2.129E-2</v>
      </c>
      <c r="I163" s="5">
        <f t="shared" si="8"/>
        <v>-2.3420000000000003E-2</v>
      </c>
      <c r="J163" s="5">
        <f t="shared" si="8"/>
        <v>-2.5550000000000003E-2</v>
      </c>
      <c r="K163" s="5">
        <f t="shared" si="8"/>
        <v>-2.768E-2</v>
      </c>
      <c r="L163" s="5">
        <f t="shared" si="8"/>
        <v>-2.9810000000000003E-2</v>
      </c>
      <c r="M163" s="5">
        <f t="shared" si="8"/>
        <v>-3.1940000000000003E-2</v>
      </c>
      <c r="N163" s="5">
        <f t="shared" si="8"/>
        <v>-3.4070000000000003E-2</v>
      </c>
      <c r="O163" s="5">
        <f t="shared" si="8"/>
        <v>-3.6200000000000003E-2</v>
      </c>
    </row>
    <row r="164" spans="2:15" x14ac:dyDescent="0.3">
      <c r="B164" s="4">
        <v>45950</v>
      </c>
      <c r="C164" s="5">
        <v>-2.3699999999999999E-2</v>
      </c>
      <c r="D164" s="5">
        <v>-1.3100000000000001E-2</v>
      </c>
      <c r="F164" s="5">
        <f t="shared" si="7"/>
        <v>-1.4160000000000001E-2</v>
      </c>
      <c r="G164" s="5">
        <f t="shared" si="8"/>
        <v>-1.5220000000000001E-2</v>
      </c>
      <c r="H164" s="5">
        <f t="shared" si="8"/>
        <v>-1.6279999999999999E-2</v>
      </c>
      <c r="I164" s="5">
        <f t="shared" si="8"/>
        <v>-1.7340000000000001E-2</v>
      </c>
      <c r="J164" s="5">
        <f t="shared" si="8"/>
        <v>-1.84E-2</v>
      </c>
      <c r="K164" s="5">
        <f t="shared" si="8"/>
        <v>-1.9459999999999998E-2</v>
      </c>
      <c r="L164" s="5">
        <f t="shared" si="8"/>
        <v>-2.0519999999999997E-2</v>
      </c>
      <c r="M164" s="5">
        <f t="shared" si="8"/>
        <v>-2.1580000000000002E-2</v>
      </c>
      <c r="N164" s="5">
        <f t="shared" si="8"/>
        <v>-2.2639999999999997E-2</v>
      </c>
      <c r="O164" s="5">
        <f t="shared" si="8"/>
        <v>-2.3699999999999999E-2</v>
      </c>
    </row>
    <row r="165" spans="2:15" x14ac:dyDescent="0.3">
      <c r="B165" s="4">
        <v>45951</v>
      </c>
      <c r="C165" s="5">
        <v>2.4199999999999999E-2</v>
      </c>
      <c r="D165" s="5">
        <v>-1E-4</v>
      </c>
      <c r="F165" s="5">
        <f t="shared" si="7"/>
        <v>2.3300000000000005E-3</v>
      </c>
      <c r="G165" s="5">
        <f t="shared" si="8"/>
        <v>4.7600000000000003E-3</v>
      </c>
      <c r="H165" s="5">
        <f t="shared" si="8"/>
        <v>7.1899999999999993E-3</v>
      </c>
      <c r="I165" s="5">
        <f t="shared" si="8"/>
        <v>9.6200000000000018E-3</v>
      </c>
      <c r="J165" s="5">
        <f t="shared" si="8"/>
        <v>1.205E-2</v>
      </c>
      <c r="K165" s="5">
        <f t="shared" si="8"/>
        <v>1.4479999999999998E-2</v>
      </c>
      <c r="L165" s="5">
        <f t="shared" si="8"/>
        <v>1.6909999999999998E-2</v>
      </c>
      <c r="M165" s="5">
        <f t="shared" si="8"/>
        <v>1.9340000000000003E-2</v>
      </c>
      <c r="N165" s="5">
        <f t="shared" si="8"/>
        <v>2.1770000000000001E-2</v>
      </c>
      <c r="O165" s="5">
        <f t="shared" si="8"/>
        <v>2.4199999999999999E-2</v>
      </c>
    </row>
    <row r="166" spans="2:15" x14ac:dyDescent="0.3">
      <c r="B166" s="4">
        <v>45953</v>
      </c>
      <c r="C166" s="5">
        <v>-1.8100000000000002E-2</v>
      </c>
      <c r="D166" s="5">
        <v>-2.8799999999999999E-2</v>
      </c>
      <c r="F166" s="5">
        <f t="shared" si="7"/>
        <v>-2.7729999999999998E-2</v>
      </c>
      <c r="G166" s="5">
        <f t="shared" si="8"/>
        <v>-2.6660000000000003E-2</v>
      </c>
      <c r="H166" s="5">
        <f t="shared" si="8"/>
        <v>-2.5589999999999998E-2</v>
      </c>
      <c r="I166" s="5">
        <f t="shared" si="8"/>
        <v>-2.452E-2</v>
      </c>
      <c r="J166" s="5">
        <f t="shared" si="8"/>
        <v>-2.3449999999999999E-2</v>
      </c>
      <c r="K166" s="5">
        <f t="shared" si="8"/>
        <v>-2.2380000000000001E-2</v>
      </c>
      <c r="L166" s="5">
        <f t="shared" si="8"/>
        <v>-2.1310000000000003E-2</v>
      </c>
      <c r="M166" s="5">
        <f t="shared" si="8"/>
        <v>-2.0240000000000001E-2</v>
      </c>
      <c r="N166" s="5">
        <f t="shared" si="8"/>
        <v>-1.9170000000000003E-2</v>
      </c>
      <c r="O166" s="5">
        <f t="shared" si="8"/>
        <v>-1.8100000000000002E-2</v>
      </c>
    </row>
    <row r="167" spans="2:15" x14ac:dyDescent="0.3">
      <c r="B167" s="4">
        <v>45954</v>
      </c>
      <c r="C167" s="5">
        <v>1.4E-3</v>
      </c>
      <c r="D167" s="5">
        <v>-5.3E-3</v>
      </c>
      <c r="F167" s="5">
        <f t="shared" si="7"/>
        <v>-4.6299999999999996E-3</v>
      </c>
      <c r="G167" s="5">
        <f t="shared" si="8"/>
        <v>-3.96E-3</v>
      </c>
      <c r="H167" s="5">
        <f t="shared" si="8"/>
        <v>-3.29E-3</v>
      </c>
      <c r="I167" s="5">
        <f t="shared" si="8"/>
        <v>-2.6199999999999999E-3</v>
      </c>
      <c r="J167" s="5">
        <f t="shared" si="8"/>
        <v>-1.9499999999999999E-3</v>
      </c>
      <c r="K167" s="5">
        <f t="shared" si="8"/>
        <v>-1.2799999999999999E-3</v>
      </c>
      <c r="L167" s="5">
        <f t="shared" si="8"/>
        <v>-6.100000000000003E-4</v>
      </c>
      <c r="M167" s="5">
        <f t="shared" si="8"/>
        <v>6.0000000000000374E-5</v>
      </c>
      <c r="N167" s="5">
        <f t="shared" si="8"/>
        <v>7.3000000000000018E-4</v>
      </c>
      <c r="O167" s="5">
        <f t="shared" si="8"/>
        <v>1.4E-3</v>
      </c>
    </row>
    <row r="168" spans="2:15" x14ac:dyDescent="0.3">
      <c r="B168" s="4">
        <v>45957</v>
      </c>
      <c r="C168" s="5">
        <v>1.8E-3</v>
      </c>
      <c r="D168" s="5">
        <v>2.1700000000000001E-2</v>
      </c>
      <c r="F168" s="5">
        <f t="shared" si="7"/>
        <v>1.9710000000000002E-2</v>
      </c>
      <c r="G168" s="5">
        <f t="shared" si="8"/>
        <v>1.772E-2</v>
      </c>
      <c r="H168" s="5">
        <f t="shared" si="8"/>
        <v>1.5729999999999997E-2</v>
      </c>
      <c r="I168" s="5">
        <f t="shared" si="8"/>
        <v>1.374E-2</v>
      </c>
      <c r="J168" s="5">
        <f t="shared" si="8"/>
        <v>1.175E-2</v>
      </c>
      <c r="K168" s="5">
        <f t="shared" si="8"/>
        <v>9.7599999999999996E-3</v>
      </c>
      <c r="L168" s="5">
        <f t="shared" si="8"/>
        <v>7.7700000000000009E-3</v>
      </c>
      <c r="M168" s="5">
        <f t="shared" si="8"/>
        <v>5.7799999999999995E-3</v>
      </c>
      <c r="N168" s="5">
        <f t="shared" si="8"/>
        <v>3.7899999999999995E-3</v>
      </c>
      <c r="O168" s="5">
        <f t="shared" si="8"/>
        <v>1.8E-3</v>
      </c>
    </row>
    <row r="169" spans="2:15" x14ac:dyDescent="0.3">
      <c r="B169" s="4">
        <v>45958</v>
      </c>
      <c r="C169" s="5">
        <v>-8.3000000000000001E-3</v>
      </c>
      <c r="D169" s="5">
        <v>2.7000000000000001E-3</v>
      </c>
      <c r="F169" s="5">
        <f t="shared" si="7"/>
        <v>1.6000000000000003E-3</v>
      </c>
      <c r="G169" s="5">
        <f t="shared" si="8"/>
        <v>5.0000000000000001E-4</v>
      </c>
      <c r="H169" s="5">
        <f t="shared" si="8"/>
        <v>-6.0000000000000006E-4</v>
      </c>
      <c r="I169" s="5">
        <f t="shared" si="8"/>
        <v>-1.6999999999999999E-3</v>
      </c>
      <c r="J169" s="5">
        <f t="shared" si="8"/>
        <v>-2.8E-3</v>
      </c>
      <c r="K169" s="5">
        <f t="shared" si="8"/>
        <v>-3.8999999999999998E-3</v>
      </c>
      <c r="L169" s="5">
        <f t="shared" si="8"/>
        <v>-5.0000000000000001E-3</v>
      </c>
      <c r="M169" s="5">
        <f t="shared" si="8"/>
        <v>-6.1000000000000004E-3</v>
      </c>
      <c r="N169" s="5">
        <f t="shared" si="8"/>
        <v>-7.1999999999999998E-3</v>
      </c>
      <c r="O169" s="5">
        <f t="shared" si="8"/>
        <v>-8.3000000000000001E-3</v>
      </c>
    </row>
    <row r="170" spans="2:15" x14ac:dyDescent="0.3">
      <c r="B170" s="4">
        <v>45959</v>
      </c>
      <c r="C170" s="5">
        <v>-7.4999999999999997E-3</v>
      </c>
      <c r="D170" s="5">
        <v>-1.24E-2</v>
      </c>
      <c r="F170" s="5">
        <f t="shared" si="7"/>
        <v>-1.191E-2</v>
      </c>
      <c r="G170" s="5">
        <f t="shared" si="8"/>
        <v>-1.142E-2</v>
      </c>
      <c r="H170" s="5">
        <f t="shared" si="8"/>
        <v>-1.0929999999999999E-2</v>
      </c>
      <c r="I170" s="5">
        <f t="shared" si="8"/>
        <v>-1.044E-2</v>
      </c>
      <c r="J170" s="5">
        <f t="shared" si="8"/>
        <v>-9.9500000000000005E-3</v>
      </c>
      <c r="K170" s="5">
        <f t="shared" si="8"/>
        <v>-9.4599999999999997E-3</v>
      </c>
      <c r="L170" s="5">
        <f t="shared" si="8"/>
        <v>-8.9699999999999988E-3</v>
      </c>
      <c r="M170" s="5">
        <f t="shared" si="8"/>
        <v>-8.4799999999999997E-3</v>
      </c>
      <c r="N170" s="5">
        <f t="shared" si="8"/>
        <v>-7.9900000000000006E-3</v>
      </c>
      <c r="O170" s="5">
        <f t="shared" si="8"/>
        <v>-7.4999999999999997E-3</v>
      </c>
    </row>
    <row r="171" spans="2:15" x14ac:dyDescent="0.3">
      <c r="B171" s="4">
        <v>45960</v>
      </c>
      <c r="C171" s="5">
        <v>-2.3999999999999998E-3</v>
      </c>
      <c r="D171" s="5">
        <v>-3.3E-3</v>
      </c>
      <c r="F171" s="5">
        <f t="shared" si="7"/>
        <v>-3.2100000000000002E-3</v>
      </c>
      <c r="G171" s="5">
        <f t="shared" si="8"/>
        <v>-3.1199999999999999E-3</v>
      </c>
      <c r="H171" s="5">
        <f t="shared" si="8"/>
        <v>-3.0299999999999997E-3</v>
      </c>
      <c r="I171" s="5">
        <f t="shared" si="8"/>
        <v>-2.9399999999999999E-3</v>
      </c>
      <c r="J171" s="5">
        <f t="shared" si="8"/>
        <v>-2.8500000000000001E-3</v>
      </c>
      <c r="K171" s="5">
        <f t="shared" si="8"/>
        <v>-2.7599999999999999E-3</v>
      </c>
      <c r="L171" s="5">
        <f t="shared" si="8"/>
        <v>-2.6700000000000001E-3</v>
      </c>
      <c r="M171" s="5">
        <f t="shared" si="8"/>
        <v>-2.5799999999999998E-3</v>
      </c>
      <c r="N171" s="5">
        <f t="shared" si="8"/>
        <v>-2.49E-3</v>
      </c>
      <c r="O171" s="5">
        <f t="shared" si="8"/>
        <v>-2.3999999999999998E-3</v>
      </c>
    </row>
    <row r="172" spans="2:15" x14ac:dyDescent="0.3">
      <c r="B172" s="4">
        <v>45961</v>
      </c>
      <c r="C172" s="5">
        <v>-1.9099999999999999E-2</v>
      </c>
      <c r="D172" s="5">
        <v>-3.5200000000000002E-2</v>
      </c>
      <c r="F172" s="5">
        <f t="shared" si="7"/>
        <v>-3.3590000000000002E-2</v>
      </c>
      <c r="G172" s="5">
        <f t="shared" si="8"/>
        <v>-3.1980000000000001E-2</v>
      </c>
      <c r="H172" s="5">
        <f t="shared" si="8"/>
        <v>-3.0369999999999998E-2</v>
      </c>
      <c r="I172" s="5">
        <f t="shared" si="8"/>
        <v>-2.8760000000000001E-2</v>
      </c>
      <c r="J172" s="5">
        <f t="shared" si="8"/>
        <v>-2.7150000000000001E-2</v>
      </c>
      <c r="K172" s="5">
        <f t="shared" si="8"/>
        <v>-2.554E-2</v>
      </c>
      <c r="L172" s="5">
        <f t="shared" si="8"/>
        <v>-2.393E-2</v>
      </c>
      <c r="M172" s="5">
        <f t="shared" si="8"/>
        <v>-2.232E-2</v>
      </c>
      <c r="N172" s="5">
        <f t="shared" si="8"/>
        <v>-2.0709999999999999E-2</v>
      </c>
      <c r="O172" s="5">
        <f t="shared" si="8"/>
        <v>-1.9099999999999999E-2</v>
      </c>
    </row>
    <row r="173" spans="2:15" x14ac:dyDescent="0.3">
      <c r="B173" s="4">
        <v>45964</v>
      </c>
      <c r="C173" s="5">
        <v>-1.83E-2</v>
      </c>
      <c r="D173" s="5">
        <v>1.5299999999999999E-2</v>
      </c>
      <c r="F173" s="5">
        <f t="shared" si="7"/>
        <v>1.1939999999999999E-2</v>
      </c>
      <c r="G173" s="5">
        <f t="shared" si="8"/>
        <v>8.5800000000000008E-3</v>
      </c>
      <c r="H173" s="5">
        <f t="shared" si="8"/>
        <v>5.2199999999999989E-3</v>
      </c>
      <c r="I173" s="5">
        <f t="shared" si="8"/>
        <v>1.8599999999999988E-3</v>
      </c>
      <c r="J173" s="5">
        <f t="shared" si="8"/>
        <v>-1.5000000000000005E-3</v>
      </c>
      <c r="K173" s="5">
        <f t="shared" si="8"/>
        <v>-4.8599999999999997E-3</v>
      </c>
      <c r="L173" s="5">
        <f t="shared" si="8"/>
        <v>-8.2199999999999999E-3</v>
      </c>
      <c r="M173" s="5">
        <f t="shared" si="8"/>
        <v>-1.158E-2</v>
      </c>
      <c r="N173" s="5">
        <f t="shared" si="8"/>
        <v>-1.4940000000000002E-2</v>
      </c>
      <c r="O173" s="5">
        <f t="shared" si="8"/>
        <v>-1.83E-2</v>
      </c>
    </row>
    <row r="174" spans="2:15" x14ac:dyDescent="0.3">
      <c r="B174" s="4">
        <v>45965</v>
      </c>
      <c r="C174" s="5">
        <v>2.7099999999999999E-2</v>
      </c>
      <c r="D174" s="5">
        <v>-2.8199999999999999E-2</v>
      </c>
      <c r="F174" s="5">
        <f t="shared" si="7"/>
        <v>-2.2669999999999999E-2</v>
      </c>
      <c r="G174" s="5">
        <f t="shared" si="8"/>
        <v>-1.7139999999999999E-2</v>
      </c>
      <c r="H174" s="5">
        <f t="shared" si="8"/>
        <v>-1.1609999999999997E-2</v>
      </c>
      <c r="I174" s="5">
        <f t="shared" si="8"/>
        <v>-6.0799999999999969E-3</v>
      </c>
      <c r="J174" s="5">
        <f t="shared" si="8"/>
        <v>-5.5000000000000014E-4</v>
      </c>
      <c r="K174" s="5">
        <f t="shared" si="8"/>
        <v>4.9800000000000001E-3</v>
      </c>
      <c r="L174" s="5">
        <f t="shared" si="8"/>
        <v>1.0509999999999997E-2</v>
      </c>
      <c r="M174" s="5">
        <f t="shared" si="8"/>
        <v>1.6040000000000002E-2</v>
      </c>
      <c r="N174" s="5">
        <f t="shared" si="8"/>
        <v>2.1569999999999999E-2</v>
      </c>
      <c r="O174" s="5">
        <f t="shared" si="8"/>
        <v>2.7099999999999999E-2</v>
      </c>
    </row>
    <row r="175" spans="2:15" x14ac:dyDescent="0.3">
      <c r="B175" s="4">
        <v>45967</v>
      </c>
      <c r="C175" s="5">
        <v>-2.2700000000000001E-2</v>
      </c>
      <c r="D175" s="5">
        <v>-2.5000000000000001E-2</v>
      </c>
      <c r="F175" s="5">
        <f t="shared" si="7"/>
        <v>-2.4770000000000004E-2</v>
      </c>
      <c r="G175" s="5">
        <f t="shared" si="8"/>
        <v>-2.4540000000000006E-2</v>
      </c>
      <c r="H175" s="5">
        <f t="shared" si="8"/>
        <v>-2.4309999999999998E-2</v>
      </c>
      <c r="I175" s="5">
        <f t="shared" si="8"/>
        <v>-2.4080000000000001E-2</v>
      </c>
      <c r="J175" s="5">
        <f t="shared" si="8"/>
        <v>-2.3850000000000003E-2</v>
      </c>
      <c r="K175" s="5">
        <f t="shared" si="8"/>
        <v>-2.3620000000000002E-2</v>
      </c>
      <c r="L175" s="5">
        <f t="shared" si="8"/>
        <v>-2.3390000000000001E-2</v>
      </c>
      <c r="M175" s="5">
        <f t="shared" si="8"/>
        <v>-2.316E-2</v>
      </c>
      <c r="N175" s="5">
        <f t="shared" si="8"/>
        <v>-2.2929999999999999E-2</v>
      </c>
      <c r="O175" s="5">
        <f t="shared" si="8"/>
        <v>-2.2700000000000001E-2</v>
      </c>
    </row>
    <row r="176" spans="2:15" x14ac:dyDescent="0.3">
      <c r="B176" s="4">
        <v>45968</v>
      </c>
      <c r="C176" s="5">
        <v>-6.3E-3</v>
      </c>
      <c r="D176" s="5">
        <v>1.5E-3</v>
      </c>
      <c r="F176" s="5">
        <f t="shared" si="7"/>
        <v>7.2000000000000005E-4</v>
      </c>
      <c r="G176" s="5">
        <f t="shared" si="8"/>
        <v>-5.9999999999999941E-5</v>
      </c>
      <c r="H176" s="5">
        <f t="shared" si="8"/>
        <v>-8.4000000000000003E-4</v>
      </c>
      <c r="I176" s="5">
        <f t="shared" si="8"/>
        <v>-1.6200000000000001E-3</v>
      </c>
      <c r="J176" s="5">
        <f t="shared" si="8"/>
        <v>-2.4000000000000002E-3</v>
      </c>
      <c r="K176" s="5">
        <f t="shared" si="8"/>
        <v>-3.1799999999999997E-3</v>
      </c>
      <c r="L176" s="5">
        <f t="shared" si="8"/>
        <v>-3.96E-3</v>
      </c>
      <c r="M176" s="5">
        <f t="shared" si="8"/>
        <v>-4.7400000000000003E-3</v>
      </c>
      <c r="N176" s="5">
        <f t="shared" si="8"/>
        <v>-5.5200000000000006E-3</v>
      </c>
      <c r="O176" s="5">
        <f t="shared" si="8"/>
        <v>-6.3E-3</v>
      </c>
    </row>
    <row r="177" spans="2:15" x14ac:dyDescent="0.3">
      <c r="B177" s="4">
        <v>45971</v>
      </c>
      <c r="C177" s="5">
        <v>-3.5999999999999997E-2</v>
      </c>
      <c r="D177" s="5">
        <v>-1.52E-2</v>
      </c>
      <c r="F177" s="5">
        <f t="shared" si="7"/>
        <v>-1.728E-2</v>
      </c>
      <c r="G177" s="5">
        <f t="shared" si="8"/>
        <v>-1.9360000000000002E-2</v>
      </c>
      <c r="H177" s="5">
        <f t="shared" si="8"/>
        <v>-2.1440000000000001E-2</v>
      </c>
      <c r="I177" s="5">
        <f t="shared" si="8"/>
        <v>-2.3519999999999999E-2</v>
      </c>
      <c r="J177" s="5">
        <f t="shared" si="8"/>
        <v>-2.5599999999999998E-2</v>
      </c>
      <c r="K177" s="5">
        <f t="shared" si="8"/>
        <v>-2.7679999999999996E-2</v>
      </c>
      <c r="L177" s="5">
        <f t="shared" si="8"/>
        <v>-2.9759999999999998E-2</v>
      </c>
      <c r="M177" s="5">
        <f t="shared" si="8"/>
        <v>-3.184E-2</v>
      </c>
      <c r="N177" s="5">
        <f t="shared" si="8"/>
        <v>-3.3919999999999999E-2</v>
      </c>
      <c r="O177" s="5">
        <f t="shared" si="8"/>
        <v>-3.5999999999999997E-2</v>
      </c>
    </row>
    <row r="178" spans="2:15" x14ac:dyDescent="0.3">
      <c r="B178" s="4">
        <v>45972</v>
      </c>
      <c r="C178" s="5">
        <v>1.89E-2</v>
      </c>
      <c r="D178" s="5">
        <v>1.44E-2</v>
      </c>
      <c r="F178" s="5">
        <f t="shared" si="7"/>
        <v>1.4849999999999999E-2</v>
      </c>
      <c r="G178" s="5">
        <f t="shared" si="8"/>
        <v>1.5300000000000001E-2</v>
      </c>
      <c r="H178" s="5">
        <f t="shared" si="8"/>
        <v>1.575E-2</v>
      </c>
      <c r="I178" s="5">
        <f t="shared" si="8"/>
        <v>1.6199999999999999E-2</v>
      </c>
      <c r="J178" s="5">
        <f t="shared" si="8"/>
        <v>1.6649999999999998E-2</v>
      </c>
      <c r="K178" s="5">
        <f t="shared" si="8"/>
        <v>1.7100000000000001E-2</v>
      </c>
      <c r="L178" s="5">
        <f t="shared" si="8"/>
        <v>1.755E-2</v>
      </c>
      <c r="M178" s="5">
        <f t="shared" si="8"/>
        <v>1.8000000000000002E-2</v>
      </c>
      <c r="N178" s="5">
        <f t="shared" si="8"/>
        <v>1.8450000000000001E-2</v>
      </c>
      <c r="O178" s="5">
        <f t="shared" si="8"/>
        <v>1.89E-2</v>
      </c>
    </row>
    <row r="179" spans="2:15" x14ac:dyDescent="0.3">
      <c r="B179" s="4">
        <v>45973</v>
      </c>
      <c r="C179" s="5">
        <v>3.8E-3</v>
      </c>
      <c r="D179" s="5">
        <v>9.7999999999999997E-3</v>
      </c>
      <c r="F179" s="5">
        <f t="shared" si="7"/>
        <v>9.1999999999999998E-3</v>
      </c>
      <c r="G179" s="5">
        <f t="shared" si="8"/>
        <v>8.6E-3</v>
      </c>
      <c r="H179" s="5">
        <f t="shared" si="8"/>
        <v>7.9999999999999984E-3</v>
      </c>
      <c r="I179" s="5">
        <f t="shared" si="8"/>
        <v>7.4000000000000003E-3</v>
      </c>
      <c r="J179" s="5">
        <f t="shared" si="8"/>
        <v>6.7999999999999996E-3</v>
      </c>
      <c r="K179" s="5">
        <f t="shared" si="8"/>
        <v>6.1999999999999998E-3</v>
      </c>
      <c r="L179" s="5">
        <f t="shared" si="8"/>
        <v>5.6000000000000008E-3</v>
      </c>
      <c r="M179" s="5">
        <f t="shared" si="8"/>
        <v>4.9999999999999992E-3</v>
      </c>
      <c r="N179" s="5">
        <f t="shared" si="8"/>
        <v>4.3999999999999994E-3</v>
      </c>
      <c r="O179" s="5">
        <f t="shared" si="8"/>
        <v>3.8E-3</v>
      </c>
    </row>
    <row r="180" spans="2:15" x14ac:dyDescent="0.3">
      <c r="B180" s="4">
        <v>45974</v>
      </c>
      <c r="C180" s="5">
        <v>-3.2000000000000001E-2</v>
      </c>
      <c r="D180" s="5">
        <v>-3.5799999999999998E-2</v>
      </c>
      <c r="F180" s="5">
        <f t="shared" si="7"/>
        <v>-3.542E-2</v>
      </c>
      <c r="G180" s="5">
        <f t="shared" si="8"/>
        <v>-3.5040000000000002E-2</v>
      </c>
      <c r="H180" s="5">
        <f t="shared" si="8"/>
        <v>-3.4659999999999996E-2</v>
      </c>
      <c r="I180" s="5">
        <f t="shared" si="8"/>
        <v>-3.4279999999999998E-2</v>
      </c>
      <c r="J180" s="5">
        <f t="shared" si="8"/>
        <v>-3.39E-2</v>
      </c>
      <c r="K180" s="5">
        <f t="shared" si="8"/>
        <v>-3.3519999999999994E-2</v>
      </c>
      <c r="L180" s="5">
        <f t="shared" si="8"/>
        <v>-3.3140000000000003E-2</v>
      </c>
      <c r="M180" s="5">
        <f t="shared" si="8"/>
        <v>-3.2759999999999997E-2</v>
      </c>
      <c r="N180" s="5">
        <f t="shared" si="8"/>
        <v>-3.2379999999999999E-2</v>
      </c>
      <c r="O180" s="5">
        <f t="shared" si="8"/>
        <v>-3.2000000000000001E-2</v>
      </c>
    </row>
    <row r="181" spans="2:15" x14ac:dyDescent="0.3">
      <c r="B181" s="4">
        <v>45975</v>
      </c>
      <c r="C181" s="5">
        <v>2.6100000000000002E-2</v>
      </c>
      <c r="D181" s="5">
        <v>2.0199999999999999E-2</v>
      </c>
      <c r="F181" s="5">
        <f t="shared" si="7"/>
        <v>2.0789999999999999E-2</v>
      </c>
      <c r="G181" s="5">
        <f t="shared" si="8"/>
        <v>2.1380000000000003E-2</v>
      </c>
      <c r="H181" s="5">
        <f t="shared" si="8"/>
        <v>2.1969999999999996E-2</v>
      </c>
      <c r="I181" s="5">
        <f t="shared" si="8"/>
        <v>2.256E-2</v>
      </c>
      <c r="J181" s="5">
        <f t="shared" si="8"/>
        <v>2.315E-2</v>
      </c>
      <c r="K181" s="5">
        <f t="shared" si="8"/>
        <v>2.3740000000000001E-2</v>
      </c>
      <c r="L181" s="5">
        <f t="shared" si="8"/>
        <v>2.4330000000000001E-2</v>
      </c>
      <c r="M181" s="5">
        <f t="shared" si="8"/>
        <v>2.4920000000000001E-2</v>
      </c>
      <c r="N181" s="5">
        <f t="shared" si="8"/>
        <v>2.5510000000000001E-2</v>
      </c>
      <c r="O181" s="5">
        <f t="shared" si="8"/>
        <v>2.6100000000000002E-2</v>
      </c>
    </row>
    <row r="182" spans="2:15" x14ac:dyDescent="0.3">
      <c r="B182" s="4">
        <v>45978</v>
      </c>
      <c r="C182" s="5">
        <v>4.3E-3</v>
      </c>
      <c r="D182" s="5">
        <v>1.9099999999999999E-2</v>
      </c>
      <c r="F182" s="5">
        <f t="shared" si="7"/>
        <v>1.762E-2</v>
      </c>
      <c r="G182" s="5">
        <f t="shared" si="8"/>
        <v>1.6140000000000002E-2</v>
      </c>
      <c r="H182" s="5">
        <f t="shared" si="8"/>
        <v>1.4659999999999998E-2</v>
      </c>
      <c r="I182" s="5">
        <f t="shared" si="8"/>
        <v>1.3180000000000001E-2</v>
      </c>
      <c r="J182" s="5">
        <f t="shared" si="8"/>
        <v>1.1699999999999999E-2</v>
      </c>
      <c r="K182" s="5">
        <f t="shared" si="8"/>
        <v>1.022E-2</v>
      </c>
      <c r="L182" s="5">
        <f t="shared" si="8"/>
        <v>8.7400000000000012E-3</v>
      </c>
      <c r="M182" s="5">
        <f t="shared" si="8"/>
        <v>7.2599999999999991E-3</v>
      </c>
      <c r="N182" s="5">
        <f t="shared" si="8"/>
        <v>5.7799999999999995E-3</v>
      </c>
      <c r="O182" s="5">
        <f t="shared" si="8"/>
        <v>4.3E-3</v>
      </c>
    </row>
    <row r="183" spans="2:15" x14ac:dyDescent="0.3">
      <c r="B183" s="4">
        <v>45979</v>
      </c>
      <c r="C183" s="5">
        <v>-3.7000000000000002E-3</v>
      </c>
      <c r="D183" s="5">
        <v>-1.0999999999999999E-2</v>
      </c>
      <c r="F183" s="5">
        <f t="shared" si="7"/>
        <v>-1.027E-2</v>
      </c>
      <c r="G183" s="5">
        <f t="shared" si="8"/>
        <v>-9.5399999999999999E-3</v>
      </c>
      <c r="H183" s="5">
        <f t="shared" si="8"/>
        <v>-8.8100000000000001E-3</v>
      </c>
      <c r="I183" s="5">
        <f t="shared" si="8"/>
        <v>-8.0799999999999986E-3</v>
      </c>
      <c r="J183" s="5">
        <f t="shared" si="8"/>
        <v>-7.3499999999999998E-3</v>
      </c>
      <c r="K183" s="5">
        <f t="shared" si="8"/>
        <v>-6.6200000000000009E-3</v>
      </c>
      <c r="L183" s="5">
        <f t="shared" si="8"/>
        <v>-5.8900000000000003E-3</v>
      </c>
      <c r="M183" s="5">
        <f t="shared" si="8"/>
        <v>-5.1599999999999997E-3</v>
      </c>
      <c r="N183" s="5">
        <f t="shared" si="8"/>
        <v>-4.4299999999999999E-3</v>
      </c>
      <c r="O183" s="5">
        <f t="shared" si="8"/>
        <v>-3.7000000000000002E-3</v>
      </c>
    </row>
    <row r="184" spans="2:15" x14ac:dyDescent="0.3">
      <c r="B184" s="4">
        <v>45980</v>
      </c>
      <c r="C184" s="5">
        <v>9.2999999999999992E-3</v>
      </c>
      <c r="D184" s="5">
        <v>1.5E-3</v>
      </c>
      <c r="F184" s="5">
        <f t="shared" si="7"/>
        <v>2.2799999999999999E-3</v>
      </c>
      <c r="G184" s="5">
        <f t="shared" si="8"/>
        <v>3.0600000000000002E-3</v>
      </c>
      <c r="H184" s="5">
        <f t="shared" si="8"/>
        <v>3.8399999999999997E-3</v>
      </c>
      <c r="I184" s="5">
        <f t="shared" si="8"/>
        <v>4.62E-3</v>
      </c>
      <c r="J184" s="5">
        <f t="shared" si="8"/>
        <v>5.3999999999999994E-3</v>
      </c>
      <c r="K184" s="5">
        <f t="shared" si="8"/>
        <v>6.1799999999999989E-3</v>
      </c>
      <c r="L184" s="5">
        <f t="shared" si="8"/>
        <v>6.9599999999999992E-3</v>
      </c>
      <c r="M184" s="5">
        <f t="shared" si="8"/>
        <v>7.7399999999999995E-3</v>
      </c>
      <c r="N184" s="5">
        <f t="shared" ref="G184:O213" si="9">N$5*$C184+(1-N$5)*$D184</f>
        <v>8.5199999999999998E-3</v>
      </c>
      <c r="O184" s="5">
        <f t="shared" si="9"/>
        <v>9.2999999999999992E-3</v>
      </c>
    </row>
    <row r="185" spans="2:15" x14ac:dyDescent="0.3">
      <c r="B185" s="4">
        <v>45981</v>
      </c>
      <c r="C185" s="5">
        <v>-3.8E-3</v>
      </c>
      <c r="D185" s="5">
        <v>1E-3</v>
      </c>
      <c r="F185" s="5">
        <f t="shared" si="7"/>
        <v>5.2000000000000006E-4</v>
      </c>
      <c r="G185" s="5">
        <f t="shared" si="9"/>
        <v>3.9999999999999996E-5</v>
      </c>
      <c r="H185" s="5">
        <f t="shared" si="9"/>
        <v>-4.3999999999999996E-4</v>
      </c>
      <c r="I185" s="5">
        <f t="shared" si="9"/>
        <v>-9.2000000000000014E-4</v>
      </c>
      <c r="J185" s="5">
        <f t="shared" si="9"/>
        <v>-1.4E-3</v>
      </c>
      <c r="K185" s="5">
        <f t="shared" si="9"/>
        <v>-1.8799999999999999E-3</v>
      </c>
      <c r="L185" s="5">
        <f t="shared" si="9"/>
        <v>-2.3600000000000001E-3</v>
      </c>
      <c r="M185" s="5">
        <f t="shared" si="9"/>
        <v>-2.8400000000000001E-3</v>
      </c>
      <c r="N185" s="5">
        <f t="shared" si="9"/>
        <v>-3.32E-3</v>
      </c>
      <c r="O185" s="5">
        <f t="shared" si="9"/>
        <v>-3.8E-3</v>
      </c>
    </row>
    <row r="186" spans="2:15" x14ac:dyDescent="0.3">
      <c r="B186" s="4">
        <v>45982</v>
      </c>
      <c r="C186" s="5">
        <v>-2.5399999999999999E-2</v>
      </c>
      <c r="D186" s="5">
        <v>-1.61E-2</v>
      </c>
      <c r="F186" s="5">
        <f t="shared" si="7"/>
        <v>-1.703E-2</v>
      </c>
      <c r="G186" s="5">
        <f t="shared" si="9"/>
        <v>-1.796E-2</v>
      </c>
      <c r="H186" s="5">
        <f t="shared" si="9"/>
        <v>-1.8889999999999997E-2</v>
      </c>
      <c r="I186" s="5">
        <f t="shared" si="9"/>
        <v>-1.9820000000000001E-2</v>
      </c>
      <c r="J186" s="5">
        <f t="shared" si="9"/>
        <v>-2.0749999999999998E-2</v>
      </c>
      <c r="K186" s="5">
        <f t="shared" si="9"/>
        <v>-2.1679999999999998E-2</v>
      </c>
      <c r="L186" s="5">
        <f t="shared" si="9"/>
        <v>-2.2609999999999998E-2</v>
      </c>
      <c r="M186" s="5">
        <f t="shared" si="9"/>
        <v>-2.3540000000000002E-2</v>
      </c>
      <c r="N186" s="5">
        <f t="shared" si="9"/>
        <v>-2.4469999999999999E-2</v>
      </c>
      <c r="O186" s="5">
        <f t="shared" si="9"/>
        <v>-2.5399999999999999E-2</v>
      </c>
    </row>
    <row r="187" spans="2:15" x14ac:dyDescent="0.3">
      <c r="B187" s="4">
        <v>45985</v>
      </c>
      <c r="C187" s="5">
        <v>4.9700000000000001E-2</v>
      </c>
      <c r="D187" s="5">
        <v>-3.0999999999999999E-3</v>
      </c>
      <c r="F187" s="5">
        <f t="shared" si="7"/>
        <v>2.1800000000000005E-3</v>
      </c>
      <c r="G187" s="5">
        <f t="shared" si="9"/>
        <v>7.4600000000000014E-3</v>
      </c>
      <c r="H187" s="5">
        <f t="shared" si="9"/>
        <v>1.274E-2</v>
      </c>
      <c r="I187" s="5">
        <f t="shared" si="9"/>
        <v>1.8020000000000001E-2</v>
      </c>
      <c r="J187" s="5">
        <f t="shared" si="9"/>
        <v>2.3300000000000001E-2</v>
      </c>
      <c r="K187" s="5">
        <f t="shared" si="9"/>
        <v>2.8579999999999998E-2</v>
      </c>
      <c r="L187" s="5">
        <f t="shared" si="9"/>
        <v>3.3860000000000001E-2</v>
      </c>
      <c r="M187" s="5">
        <f t="shared" si="9"/>
        <v>3.9140000000000001E-2</v>
      </c>
      <c r="N187" s="5">
        <f t="shared" si="9"/>
        <v>4.4420000000000001E-2</v>
      </c>
      <c r="O187" s="5">
        <f t="shared" si="9"/>
        <v>4.9700000000000001E-2</v>
      </c>
    </row>
    <row r="188" spans="2:15" x14ac:dyDescent="0.3">
      <c r="B188" s="4">
        <v>45986</v>
      </c>
      <c r="C188" s="5">
        <v>-2.47E-2</v>
      </c>
      <c r="D188" s="5">
        <v>4.3E-3</v>
      </c>
      <c r="F188" s="5">
        <f t="shared" si="7"/>
        <v>1.4000000000000002E-3</v>
      </c>
      <c r="G188" s="5">
        <f t="shared" si="9"/>
        <v>-1.4999999999999996E-3</v>
      </c>
      <c r="H188" s="5">
        <f t="shared" si="9"/>
        <v>-4.4000000000000003E-3</v>
      </c>
      <c r="I188" s="5">
        <f t="shared" si="9"/>
        <v>-7.3000000000000001E-3</v>
      </c>
      <c r="J188" s="5">
        <f t="shared" si="9"/>
        <v>-1.0200000000000001E-2</v>
      </c>
      <c r="K188" s="5">
        <f t="shared" si="9"/>
        <v>-1.3100000000000001E-2</v>
      </c>
      <c r="L188" s="5">
        <f t="shared" si="9"/>
        <v>-1.6E-2</v>
      </c>
      <c r="M188" s="5">
        <f t="shared" si="9"/>
        <v>-1.89E-2</v>
      </c>
      <c r="N188" s="5">
        <f t="shared" si="9"/>
        <v>-2.18E-2</v>
      </c>
      <c r="O188" s="5">
        <f t="shared" si="9"/>
        <v>-2.47E-2</v>
      </c>
    </row>
    <row r="189" spans="2:15" x14ac:dyDescent="0.3">
      <c r="B189" s="4">
        <v>45987</v>
      </c>
      <c r="C189" s="5">
        <v>-5.5999999999999999E-3</v>
      </c>
      <c r="D189" s="5">
        <v>1.5100000000000001E-2</v>
      </c>
      <c r="F189" s="5">
        <f t="shared" si="7"/>
        <v>1.3030000000000002E-2</v>
      </c>
      <c r="G189" s="5">
        <f t="shared" si="9"/>
        <v>1.0960000000000001E-2</v>
      </c>
      <c r="H189" s="5">
        <f t="shared" si="9"/>
        <v>8.8900000000000003E-3</v>
      </c>
      <c r="I189" s="5">
        <f t="shared" si="9"/>
        <v>6.8199999999999997E-3</v>
      </c>
      <c r="J189" s="5">
        <f t="shared" si="9"/>
        <v>4.7500000000000007E-3</v>
      </c>
      <c r="K189" s="5">
        <f t="shared" si="9"/>
        <v>2.6800000000000005E-3</v>
      </c>
      <c r="L189" s="5">
        <f t="shared" si="9"/>
        <v>6.1000000000000117E-4</v>
      </c>
      <c r="M189" s="5">
        <f t="shared" si="9"/>
        <v>-1.4600000000000012E-3</v>
      </c>
      <c r="N189" s="5">
        <f t="shared" si="9"/>
        <v>-3.5300000000000006E-3</v>
      </c>
      <c r="O189" s="5">
        <f t="shared" si="9"/>
        <v>-5.5999999999999999E-3</v>
      </c>
    </row>
    <row r="190" spans="2:15" x14ac:dyDescent="0.3">
      <c r="B190" s="4">
        <v>45988</v>
      </c>
      <c r="C190" s="5">
        <v>-1.47E-2</v>
      </c>
      <c r="D190" s="5">
        <v>-1.34E-2</v>
      </c>
      <c r="F190" s="5">
        <f t="shared" si="7"/>
        <v>-1.353E-2</v>
      </c>
      <c r="G190" s="5">
        <f t="shared" si="9"/>
        <v>-1.366E-2</v>
      </c>
      <c r="H190" s="5">
        <f t="shared" si="9"/>
        <v>-1.379E-2</v>
      </c>
      <c r="I190" s="5">
        <f t="shared" si="9"/>
        <v>-1.392E-2</v>
      </c>
      <c r="J190" s="5">
        <f t="shared" si="9"/>
        <v>-1.405E-2</v>
      </c>
      <c r="K190" s="5">
        <f t="shared" si="9"/>
        <v>-1.418E-2</v>
      </c>
      <c r="L190" s="5">
        <f t="shared" si="9"/>
        <v>-1.431E-2</v>
      </c>
      <c r="M190" s="5">
        <f t="shared" si="9"/>
        <v>-1.444E-2</v>
      </c>
      <c r="N190" s="5">
        <f t="shared" si="9"/>
        <v>-1.457E-2</v>
      </c>
      <c r="O190" s="5">
        <f t="shared" si="9"/>
        <v>-1.47E-2</v>
      </c>
    </row>
    <row r="191" spans="2:15" x14ac:dyDescent="0.3">
      <c r="B191" s="4">
        <v>45989</v>
      </c>
      <c r="C191" s="5">
        <v>-2.1600000000000001E-2</v>
      </c>
      <c r="D191" s="5">
        <v>-8.8000000000000005E-3</v>
      </c>
      <c r="F191" s="5">
        <f t="shared" si="7"/>
        <v>-1.008E-2</v>
      </c>
      <c r="G191" s="5">
        <f t="shared" si="9"/>
        <v>-1.1360000000000002E-2</v>
      </c>
      <c r="H191" s="5">
        <f t="shared" si="9"/>
        <v>-1.264E-2</v>
      </c>
      <c r="I191" s="5">
        <f t="shared" si="9"/>
        <v>-1.392E-2</v>
      </c>
      <c r="J191" s="5">
        <f t="shared" si="9"/>
        <v>-1.5200000000000002E-2</v>
      </c>
      <c r="K191" s="5">
        <f t="shared" si="9"/>
        <v>-1.6480000000000002E-2</v>
      </c>
      <c r="L191" s="5">
        <f t="shared" si="9"/>
        <v>-1.7760000000000001E-2</v>
      </c>
      <c r="M191" s="5">
        <f t="shared" si="9"/>
        <v>-1.9040000000000001E-2</v>
      </c>
      <c r="N191" s="5">
        <f t="shared" si="9"/>
        <v>-2.0320000000000001E-2</v>
      </c>
      <c r="O191" s="5">
        <f t="shared" si="9"/>
        <v>-2.1600000000000001E-2</v>
      </c>
    </row>
    <row r="192" spans="2:15" x14ac:dyDescent="0.3">
      <c r="B192" s="4">
        <v>45992</v>
      </c>
      <c r="C192" s="5">
        <v>2.7400000000000001E-2</v>
      </c>
      <c r="D192" s="5">
        <v>4.7000000000000002E-3</v>
      </c>
      <c r="F192" s="5">
        <f t="shared" si="7"/>
        <v>6.9700000000000005E-3</v>
      </c>
      <c r="G192" s="5">
        <f t="shared" si="9"/>
        <v>9.2400000000000017E-3</v>
      </c>
      <c r="H192" s="5">
        <f t="shared" si="9"/>
        <v>1.1509999999999999E-2</v>
      </c>
      <c r="I192" s="5">
        <f t="shared" si="9"/>
        <v>1.3780000000000001E-2</v>
      </c>
      <c r="J192" s="5">
        <f t="shared" si="9"/>
        <v>1.6050000000000002E-2</v>
      </c>
      <c r="K192" s="5">
        <f t="shared" si="9"/>
        <v>1.8319999999999999E-2</v>
      </c>
      <c r="L192" s="5">
        <f t="shared" si="9"/>
        <v>2.0590000000000001E-2</v>
      </c>
      <c r="M192" s="5">
        <f t="shared" si="9"/>
        <v>2.2860000000000002E-2</v>
      </c>
      <c r="N192" s="5">
        <f t="shared" si="9"/>
        <v>2.513E-2</v>
      </c>
      <c r="O192" s="5">
        <f t="shared" si="9"/>
        <v>2.7400000000000001E-2</v>
      </c>
    </row>
    <row r="193" spans="2:15" x14ac:dyDescent="0.3">
      <c r="B193" s="4">
        <v>45993</v>
      </c>
      <c r="C193" s="5">
        <v>2.7699999999999999E-2</v>
      </c>
      <c r="D193" s="5">
        <v>-3.2000000000000002E-3</v>
      </c>
      <c r="F193" s="5">
        <f t="shared" si="7"/>
        <v>-1.1000000000000029E-4</v>
      </c>
      <c r="G193" s="5">
        <f t="shared" si="9"/>
        <v>2.9799999999999996E-3</v>
      </c>
      <c r="H193" s="5">
        <f t="shared" si="9"/>
        <v>6.0699999999999999E-3</v>
      </c>
      <c r="I193" s="5">
        <f t="shared" si="9"/>
        <v>9.1599999999999997E-3</v>
      </c>
      <c r="J193" s="5">
        <f t="shared" si="9"/>
        <v>1.2249999999999999E-2</v>
      </c>
      <c r="K193" s="5">
        <f t="shared" si="9"/>
        <v>1.5339999999999999E-2</v>
      </c>
      <c r="L193" s="5">
        <f t="shared" si="9"/>
        <v>1.8429999999999998E-2</v>
      </c>
      <c r="M193" s="5">
        <f t="shared" si="9"/>
        <v>2.1520000000000001E-2</v>
      </c>
      <c r="N193" s="5">
        <f t="shared" si="9"/>
        <v>2.461E-2</v>
      </c>
      <c r="O193" s="5">
        <f t="shared" si="9"/>
        <v>2.7699999999999999E-2</v>
      </c>
    </row>
    <row r="194" spans="2:15" x14ac:dyDescent="0.3">
      <c r="B194" s="4">
        <v>45994</v>
      </c>
      <c r="C194" s="5">
        <v>9.5999999999999992E-3</v>
      </c>
      <c r="D194" s="5">
        <v>-9.2999999999999992E-3</v>
      </c>
      <c r="F194" s="5">
        <f t="shared" si="7"/>
        <v>-7.4099999999999991E-3</v>
      </c>
      <c r="G194" s="5">
        <f t="shared" si="9"/>
        <v>-5.5199999999999997E-3</v>
      </c>
      <c r="H194" s="5">
        <f t="shared" si="9"/>
        <v>-3.6299999999999995E-3</v>
      </c>
      <c r="I194" s="5">
        <f t="shared" si="9"/>
        <v>-1.7399999999999994E-3</v>
      </c>
      <c r="J194" s="5">
        <f t="shared" si="9"/>
        <v>1.4999999999999996E-4</v>
      </c>
      <c r="K194" s="5">
        <f t="shared" si="9"/>
        <v>2.0399999999999997E-3</v>
      </c>
      <c r="L194" s="5">
        <f t="shared" si="9"/>
        <v>3.9299999999999995E-3</v>
      </c>
      <c r="M194" s="5">
        <f t="shared" si="9"/>
        <v>5.8199999999999997E-3</v>
      </c>
      <c r="N194" s="5">
        <f t="shared" si="9"/>
        <v>7.7100000000000007E-3</v>
      </c>
      <c r="O194" s="5">
        <f t="shared" si="9"/>
        <v>9.5999999999999992E-3</v>
      </c>
    </row>
    <row r="195" spans="2:15" x14ac:dyDescent="0.3">
      <c r="B195" s="4">
        <v>45995</v>
      </c>
      <c r="C195" s="5">
        <v>-4.1999999999999997E-3</v>
      </c>
      <c r="D195" s="5">
        <v>-6.7000000000000002E-3</v>
      </c>
      <c r="F195" s="5">
        <f t="shared" si="7"/>
        <v>-6.4500000000000009E-3</v>
      </c>
      <c r="G195" s="5">
        <f t="shared" si="9"/>
        <v>-6.2000000000000006E-3</v>
      </c>
      <c r="H195" s="5">
        <f t="shared" si="9"/>
        <v>-5.9499999999999996E-3</v>
      </c>
      <c r="I195" s="5">
        <f t="shared" si="9"/>
        <v>-5.7000000000000002E-3</v>
      </c>
      <c r="J195" s="5">
        <f t="shared" si="9"/>
        <v>-5.45E-3</v>
      </c>
      <c r="K195" s="5">
        <f t="shared" si="9"/>
        <v>-5.1999999999999998E-3</v>
      </c>
      <c r="L195" s="5">
        <f t="shared" si="9"/>
        <v>-4.9499999999999995E-3</v>
      </c>
      <c r="M195" s="5">
        <f t="shared" si="9"/>
        <v>-4.7000000000000002E-3</v>
      </c>
      <c r="N195" s="5">
        <f t="shared" si="9"/>
        <v>-4.45E-3</v>
      </c>
      <c r="O195" s="5">
        <f t="shared" si="9"/>
        <v>-4.1999999999999997E-3</v>
      </c>
    </row>
    <row r="196" spans="2:15" x14ac:dyDescent="0.3">
      <c r="B196" s="4">
        <v>45996</v>
      </c>
      <c r="C196" s="5">
        <v>-1.78E-2</v>
      </c>
      <c r="D196" s="5">
        <v>-1.1299999999999999E-2</v>
      </c>
      <c r="F196" s="5">
        <f t="shared" si="7"/>
        <v>-1.1950000000000001E-2</v>
      </c>
      <c r="G196" s="5">
        <f t="shared" si="9"/>
        <v>-1.26E-2</v>
      </c>
      <c r="H196" s="5">
        <f t="shared" si="9"/>
        <v>-1.3249999999999998E-2</v>
      </c>
      <c r="I196" s="5">
        <f t="shared" si="9"/>
        <v>-1.3899999999999999E-2</v>
      </c>
      <c r="J196" s="5">
        <f t="shared" si="9"/>
        <v>-1.455E-2</v>
      </c>
      <c r="K196" s="5">
        <f t="shared" si="9"/>
        <v>-1.52E-2</v>
      </c>
      <c r="L196" s="5">
        <f t="shared" si="9"/>
        <v>-1.585E-2</v>
      </c>
      <c r="M196" s="5">
        <f t="shared" si="9"/>
        <v>-1.6500000000000001E-2</v>
      </c>
      <c r="N196" s="5">
        <f t="shared" si="9"/>
        <v>-1.7149999999999999E-2</v>
      </c>
      <c r="O196" s="5">
        <f t="shared" si="9"/>
        <v>-1.78E-2</v>
      </c>
    </row>
    <row r="197" spans="2:15" x14ac:dyDescent="0.3">
      <c r="B197" s="4">
        <v>45999</v>
      </c>
      <c r="C197" s="5">
        <v>-2.1600000000000001E-2</v>
      </c>
      <c r="D197" s="5">
        <v>-2.4500000000000001E-2</v>
      </c>
      <c r="F197" s="5">
        <f t="shared" si="7"/>
        <v>-2.4209999999999999E-2</v>
      </c>
      <c r="G197" s="5">
        <f t="shared" si="9"/>
        <v>-2.3920000000000004E-2</v>
      </c>
      <c r="H197" s="5">
        <f t="shared" si="9"/>
        <v>-2.3629999999999998E-2</v>
      </c>
      <c r="I197" s="5">
        <f t="shared" si="9"/>
        <v>-2.334E-2</v>
      </c>
      <c r="J197" s="5">
        <f t="shared" si="9"/>
        <v>-2.3050000000000001E-2</v>
      </c>
      <c r="K197" s="5">
        <f t="shared" si="9"/>
        <v>-2.2760000000000002E-2</v>
      </c>
      <c r="L197" s="5">
        <f t="shared" si="9"/>
        <v>-2.247E-2</v>
      </c>
      <c r="M197" s="5">
        <f t="shared" si="9"/>
        <v>-2.2179999999999998E-2</v>
      </c>
      <c r="N197" s="5">
        <f t="shared" si="9"/>
        <v>-2.1890000000000003E-2</v>
      </c>
      <c r="O197" s="5">
        <f t="shared" si="9"/>
        <v>-2.1600000000000001E-2</v>
      </c>
    </row>
    <row r="198" spans="2:15" x14ac:dyDescent="0.3">
      <c r="B198" s="4">
        <v>46000</v>
      </c>
      <c r="C198" s="5">
        <v>3.15E-2</v>
      </c>
      <c r="D198" s="5">
        <v>2.2599999999999999E-2</v>
      </c>
      <c r="F198" s="5">
        <f t="shared" si="7"/>
        <v>2.349E-2</v>
      </c>
      <c r="G198" s="5">
        <f t="shared" si="9"/>
        <v>2.4379999999999999E-2</v>
      </c>
      <c r="H198" s="5">
        <f t="shared" si="9"/>
        <v>2.5269999999999997E-2</v>
      </c>
      <c r="I198" s="5">
        <f t="shared" si="9"/>
        <v>2.6159999999999999E-2</v>
      </c>
      <c r="J198" s="5">
        <f t="shared" si="9"/>
        <v>2.7049999999999998E-2</v>
      </c>
      <c r="K198" s="5">
        <f t="shared" si="9"/>
        <v>2.794E-2</v>
      </c>
      <c r="L198" s="5">
        <f t="shared" si="9"/>
        <v>2.8830000000000001E-2</v>
      </c>
      <c r="M198" s="5">
        <f t="shared" si="9"/>
        <v>2.972E-2</v>
      </c>
      <c r="N198" s="5">
        <f t="shared" si="9"/>
        <v>3.0609999999999998E-2</v>
      </c>
      <c r="O198" s="5">
        <f t="shared" si="9"/>
        <v>3.15E-2</v>
      </c>
    </row>
    <row r="199" spans="2:15" x14ac:dyDescent="0.3">
      <c r="B199" s="4">
        <v>46001</v>
      </c>
      <c r="C199" s="5">
        <v>-6.4000000000000003E-3</v>
      </c>
      <c r="D199" s="5">
        <v>-2.9000000000000001E-2</v>
      </c>
      <c r="F199" s="5">
        <f t="shared" si="7"/>
        <v>-2.6740000000000003E-2</v>
      </c>
      <c r="G199" s="5">
        <f t="shared" si="9"/>
        <v>-2.4480000000000002E-2</v>
      </c>
      <c r="H199" s="5">
        <f t="shared" si="9"/>
        <v>-2.222E-2</v>
      </c>
      <c r="I199" s="5">
        <f t="shared" si="9"/>
        <v>-1.9959999999999999E-2</v>
      </c>
      <c r="J199" s="5">
        <f t="shared" si="9"/>
        <v>-1.77E-2</v>
      </c>
      <c r="K199" s="5">
        <f t="shared" si="9"/>
        <v>-1.5440000000000001E-2</v>
      </c>
      <c r="L199" s="5">
        <f t="shared" si="9"/>
        <v>-1.3180000000000001E-2</v>
      </c>
      <c r="M199" s="5">
        <f t="shared" si="9"/>
        <v>-1.0919999999999999E-2</v>
      </c>
      <c r="N199" s="5">
        <f t="shared" si="9"/>
        <v>-8.6599999999999993E-3</v>
      </c>
      <c r="O199" s="5">
        <f t="shared" si="9"/>
        <v>-6.4000000000000003E-3</v>
      </c>
    </row>
    <row r="200" spans="2:15" x14ac:dyDescent="0.3">
      <c r="B200" s="4">
        <v>46002</v>
      </c>
      <c r="C200" s="5">
        <v>1.44E-2</v>
      </c>
      <c r="D200" s="5">
        <v>2.7199999999999998E-2</v>
      </c>
      <c r="F200" s="5">
        <f t="shared" ref="F200:F254" si="10">F$5*$C200+(1-F$5)*$D200</f>
        <v>2.5919999999999999E-2</v>
      </c>
      <c r="G200" s="5">
        <f t="shared" si="9"/>
        <v>2.4640000000000002E-2</v>
      </c>
      <c r="H200" s="5">
        <f t="shared" si="9"/>
        <v>2.3359999999999999E-2</v>
      </c>
      <c r="I200" s="5">
        <f t="shared" si="9"/>
        <v>2.2079999999999999E-2</v>
      </c>
      <c r="J200" s="5">
        <f t="shared" si="9"/>
        <v>2.0799999999999999E-2</v>
      </c>
      <c r="K200" s="5">
        <f t="shared" si="9"/>
        <v>1.9520000000000003E-2</v>
      </c>
      <c r="L200" s="5">
        <f t="shared" si="9"/>
        <v>1.8239999999999999E-2</v>
      </c>
      <c r="M200" s="5">
        <f t="shared" si="9"/>
        <v>1.6959999999999999E-2</v>
      </c>
      <c r="N200" s="5">
        <f t="shared" si="9"/>
        <v>1.5679999999999999E-2</v>
      </c>
      <c r="O200" s="5">
        <f t="shared" si="9"/>
        <v>1.44E-2</v>
      </c>
    </row>
    <row r="201" spans="2:15" x14ac:dyDescent="0.3">
      <c r="B201" s="4">
        <v>46003</v>
      </c>
      <c r="C201" s="5">
        <v>3.8100000000000002E-2</v>
      </c>
      <c r="D201" s="5">
        <v>2.4400000000000002E-2</v>
      </c>
      <c r="F201" s="5">
        <f t="shared" si="10"/>
        <v>2.5770000000000001E-2</v>
      </c>
      <c r="G201" s="5">
        <f t="shared" si="9"/>
        <v>2.7140000000000004E-2</v>
      </c>
      <c r="H201" s="5">
        <f t="shared" si="9"/>
        <v>2.8510000000000001E-2</v>
      </c>
      <c r="I201" s="5">
        <f t="shared" si="9"/>
        <v>2.9880000000000004E-2</v>
      </c>
      <c r="J201" s="5">
        <f t="shared" si="9"/>
        <v>3.125E-2</v>
      </c>
      <c r="K201" s="5">
        <f t="shared" si="9"/>
        <v>3.2620000000000003E-2</v>
      </c>
      <c r="L201" s="5">
        <f t="shared" si="9"/>
        <v>3.3989999999999999E-2</v>
      </c>
      <c r="M201" s="5">
        <f t="shared" si="9"/>
        <v>3.5360000000000003E-2</v>
      </c>
      <c r="N201" s="5">
        <f t="shared" si="9"/>
        <v>3.6729999999999999E-2</v>
      </c>
      <c r="O201" s="5">
        <f t="shared" si="9"/>
        <v>3.8100000000000002E-2</v>
      </c>
    </row>
    <row r="202" spans="2:15" x14ac:dyDescent="0.3">
      <c r="B202" s="4">
        <v>46006</v>
      </c>
      <c r="C202" s="5">
        <v>-7.4000000000000003E-3</v>
      </c>
      <c r="D202" s="5">
        <v>1.2999999999999999E-3</v>
      </c>
      <c r="F202" s="5">
        <f t="shared" si="10"/>
        <v>4.2999999999999994E-4</v>
      </c>
      <c r="G202" s="5">
        <f t="shared" si="9"/>
        <v>-4.4000000000000029E-4</v>
      </c>
      <c r="H202" s="5">
        <f t="shared" si="9"/>
        <v>-1.3100000000000004E-3</v>
      </c>
      <c r="I202" s="5">
        <f t="shared" si="9"/>
        <v>-2.1800000000000005E-3</v>
      </c>
      <c r="J202" s="5">
        <f t="shared" si="9"/>
        <v>-3.0500000000000002E-3</v>
      </c>
      <c r="K202" s="5">
        <f t="shared" si="9"/>
        <v>-3.9200000000000007E-3</v>
      </c>
      <c r="L202" s="5">
        <f t="shared" si="9"/>
        <v>-4.79E-3</v>
      </c>
      <c r="M202" s="5">
        <f t="shared" si="9"/>
        <v>-5.660000000000001E-3</v>
      </c>
      <c r="N202" s="5">
        <f t="shared" si="9"/>
        <v>-6.5300000000000002E-3</v>
      </c>
      <c r="O202" s="5">
        <f t="shared" si="9"/>
        <v>-7.4000000000000003E-3</v>
      </c>
    </row>
    <row r="203" spans="2:15" x14ac:dyDescent="0.3">
      <c r="B203" s="4">
        <v>46007</v>
      </c>
      <c r="C203" s="5">
        <v>-4.1500000000000002E-2</v>
      </c>
      <c r="D203" s="5">
        <v>-4.6899999999999997E-2</v>
      </c>
      <c r="F203" s="5">
        <f t="shared" si="10"/>
        <v>-4.6359999999999998E-2</v>
      </c>
      <c r="G203" s="5">
        <f t="shared" si="9"/>
        <v>-4.582E-2</v>
      </c>
      <c r="H203" s="5">
        <f t="shared" si="9"/>
        <v>-4.5280000000000001E-2</v>
      </c>
      <c r="I203" s="5">
        <f t="shared" si="9"/>
        <v>-4.4740000000000002E-2</v>
      </c>
      <c r="J203" s="5">
        <f t="shared" si="9"/>
        <v>-4.4200000000000003E-2</v>
      </c>
      <c r="K203" s="5">
        <f t="shared" si="9"/>
        <v>-4.3660000000000004E-2</v>
      </c>
      <c r="L203" s="5">
        <f t="shared" si="9"/>
        <v>-4.3119999999999999E-2</v>
      </c>
      <c r="M203" s="5">
        <f t="shared" si="9"/>
        <v>-4.258E-2</v>
      </c>
      <c r="N203" s="5">
        <f t="shared" si="9"/>
        <v>-4.2040000000000001E-2</v>
      </c>
      <c r="O203" s="5">
        <f t="shared" si="9"/>
        <v>-4.1500000000000002E-2</v>
      </c>
    </row>
    <row r="204" spans="2:15" x14ac:dyDescent="0.3">
      <c r="B204" s="4">
        <v>46008</v>
      </c>
      <c r="C204" s="5">
        <v>6.7999999999999996E-3</v>
      </c>
      <c r="D204" s="5">
        <v>0</v>
      </c>
      <c r="F204" s="5">
        <f t="shared" si="10"/>
        <v>6.8000000000000005E-4</v>
      </c>
      <c r="G204" s="5">
        <f t="shared" si="9"/>
        <v>1.3600000000000001E-3</v>
      </c>
      <c r="H204" s="5">
        <f t="shared" si="9"/>
        <v>2.0399999999999997E-3</v>
      </c>
      <c r="I204" s="5">
        <f t="shared" si="9"/>
        <v>2.7200000000000002E-3</v>
      </c>
      <c r="J204" s="5">
        <f t="shared" si="9"/>
        <v>3.3999999999999998E-3</v>
      </c>
      <c r="K204" s="5">
        <f t="shared" si="9"/>
        <v>4.0799999999999994E-3</v>
      </c>
      <c r="L204" s="5">
        <f t="shared" si="9"/>
        <v>4.7599999999999995E-3</v>
      </c>
      <c r="M204" s="5">
        <f t="shared" si="9"/>
        <v>5.4400000000000004E-3</v>
      </c>
      <c r="N204" s="5">
        <f t="shared" si="9"/>
        <v>6.1199999999999996E-3</v>
      </c>
      <c r="O204" s="5">
        <f t="shared" si="9"/>
        <v>6.7999999999999996E-3</v>
      </c>
    </row>
    <row r="205" spans="2:15" x14ac:dyDescent="0.3">
      <c r="B205" s="4">
        <v>46009</v>
      </c>
      <c r="C205" s="5">
        <v>2.9499999999999998E-2</v>
      </c>
      <c r="D205" s="5">
        <v>1.1000000000000001E-3</v>
      </c>
      <c r="F205" s="5">
        <f t="shared" si="10"/>
        <v>3.9399999999999999E-3</v>
      </c>
      <c r="G205" s="5">
        <f t="shared" si="9"/>
        <v>6.7799999999999996E-3</v>
      </c>
      <c r="H205" s="5">
        <f t="shared" si="9"/>
        <v>9.6199999999999983E-3</v>
      </c>
      <c r="I205" s="5">
        <f t="shared" si="9"/>
        <v>1.2459999999999999E-2</v>
      </c>
      <c r="J205" s="5">
        <f t="shared" si="9"/>
        <v>1.5299999999999999E-2</v>
      </c>
      <c r="K205" s="5">
        <f t="shared" si="9"/>
        <v>1.8139999999999996E-2</v>
      </c>
      <c r="L205" s="5">
        <f t="shared" si="9"/>
        <v>2.0979999999999999E-2</v>
      </c>
      <c r="M205" s="5">
        <f t="shared" si="9"/>
        <v>2.3820000000000001E-2</v>
      </c>
      <c r="N205" s="5">
        <f t="shared" si="9"/>
        <v>2.666E-2</v>
      </c>
      <c r="O205" s="5">
        <f t="shared" si="9"/>
        <v>2.9499999999999998E-2</v>
      </c>
    </row>
    <row r="206" spans="2:15" x14ac:dyDescent="0.3">
      <c r="B206" s="4">
        <v>46010</v>
      </c>
      <c r="C206" s="5">
        <v>3.7000000000000002E-3</v>
      </c>
      <c r="D206" s="5">
        <v>4.5999999999999999E-3</v>
      </c>
      <c r="F206" s="5">
        <f t="shared" si="10"/>
        <v>4.5100000000000001E-3</v>
      </c>
      <c r="G206" s="5">
        <f t="shared" si="9"/>
        <v>4.4200000000000003E-3</v>
      </c>
      <c r="H206" s="5">
        <f t="shared" si="9"/>
        <v>4.3299999999999996E-3</v>
      </c>
      <c r="I206" s="5">
        <f t="shared" si="9"/>
        <v>4.2399999999999998E-3</v>
      </c>
      <c r="J206" s="5">
        <f t="shared" si="9"/>
        <v>4.15E-3</v>
      </c>
      <c r="K206" s="5">
        <f t="shared" si="9"/>
        <v>4.0600000000000002E-3</v>
      </c>
      <c r="L206" s="5">
        <f t="shared" si="9"/>
        <v>3.9699999999999996E-3</v>
      </c>
      <c r="M206" s="5">
        <f t="shared" si="9"/>
        <v>3.8800000000000002E-3</v>
      </c>
      <c r="N206" s="5">
        <f t="shared" si="9"/>
        <v>3.79E-3</v>
      </c>
      <c r="O206" s="5">
        <f t="shared" si="9"/>
        <v>3.7000000000000002E-3</v>
      </c>
    </row>
    <row r="207" spans="2:15" x14ac:dyDescent="0.3">
      <c r="B207" s="4">
        <v>46013</v>
      </c>
      <c r="C207" s="5">
        <v>-1.41E-2</v>
      </c>
      <c r="D207" s="5">
        <v>2.3E-3</v>
      </c>
      <c r="F207" s="5">
        <f t="shared" si="10"/>
        <v>6.6000000000000021E-4</v>
      </c>
      <c r="G207" s="5">
        <f t="shared" si="9"/>
        <v>-9.7999999999999997E-4</v>
      </c>
      <c r="H207" s="5">
        <f t="shared" si="9"/>
        <v>-2.6199999999999995E-3</v>
      </c>
      <c r="I207" s="5">
        <f t="shared" si="9"/>
        <v>-4.2599999999999999E-3</v>
      </c>
      <c r="J207" s="5">
        <f t="shared" si="9"/>
        <v>-5.8999999999999999E-3</v>
      </c>
      <c r="K207" s="5">
        <f t="shared" si="9"/>
        <v>-7.539999999999999E-3</v>
      </c>
      <c r="L207" s="5">
        <f t="shared" si="9"/>
        <v>-9.1799999999999989E-3</v>
      </c>
      <c r="M207" s="5">
        <f t="shared" si="9"/>
        <v>-1.082E-2</v>
      </c>
      <c r="N207" s="5">
        <f t="shared" si="9"/>
        <v>-1.2460000000000001E-2</v>
      </c>
      <c r="O207" s="5">
        <f t="shared" si="9"/>
        <v>-1.41E-2</v>
      </c>
    </row>
    <row r="208" spans="2:15" x14ac:dyDescent="0.3">
      <c r="B208" s="4">
        <v>46014</v>
      </c>
      <c r="C208" s="5">
        <v>-3.3E-3</v>
      </c>
      <c r="D208" s="5">
        <v>-8.2000000000000007E-3</v>
      </c>
      <c r="F208" s="5">
        <f t="shared" si="10"/>
        <v>-7.7100000000000016E-3</v>
      </c>
      <c r="G208" s="5">
        <f t="shared" si="9"/>
        <v>-7.2200000000000007E-3</v>
      </c>
      <c r="H208" s="5">
        <f t="shared" si="9"/>
        <v>-6.7299999999999999E-3</v>
      </c>
      <c r="I208" s="5">
        <f t="shared" si="9"/>
        <v>-6.2399999999999999E-3</v>
      </c>
      <c r="J208" s="5">
        <f t="shared" si="9"/>
        <v>-5.7499999999999999E-3</v>
      </c>
      <c r="K208" s="5">
        <f t="shared" si="9"/>
        <v>-5.2600000000000008E-3</v>
      </c>
      <c r="L208" s="5">
        <f t="shared" si="9"/>
        <v>-4.7699999999999999E-3</v>
      </c>
      <c r="M208" s="5">
        <f t="shared" si="9"/>
        <v>-4.28E-3</v>
      </c>
      <c r="N208" s="5">
        <f t="shared" si="9"/>
        <v>-3.79E-3</v>
      </c>
      <c r="O208" s="5">
        <f t="shared" si="9"/>
        <v>-3.3E-3</v>
      </c>
    </row>
    <row r="209" spans="2:15" x14ac:dyDescent="0.3">
      <c r="B209" s="4">
        <v>46015</v>
      </c>
      <c r="C209" s="5">
        <v>-1.23E-2</v>
      </c>
      <c r="D209" s="5">
        <v>1.8E-3</v>
      </c>
      <c r="F209" s="5">
        <f t="shared" si="10"/>
        <v>3.8999999999999972E-4</v>
      </c>
      <c r="G209" s="5">
        <f t="shared" si="9"/>
        <v>-1.0200000000000003E-3</v>
      </c>
      <c r="H209" s="5">
        <f t="shared" si="9"/>
        <v>-2.4299999999999999E-3</v>
      </c>
      <c r="I209" s="5">
        <f t="shared" si="9"/>
        <v>-3.8400000000000005E-3</v>
      </c>
      <c r="J209" s="5">
        <f t="shared" si="9"/>
        <v>-5.2500000000000003E-3</v>
      </c>
      <c r="K209" s="5">
        <f t="shared" si="9"/>
        <v>-6.6599999999999993E-3</v>
      </c>
      <c r="L209" s="5">
        <f t="shared" si="9"/>
        <v>-8.069999999999999E-3</v>
      </c>
      <c r="M209" s="5">
        <f t="shared" si="9"/>
        <v>-9.4800000000000023E-3</v>
      </c>
      <c r="N209" s="5">
        <f t="shared" si="9"/>
        <v>-1.089E-2</v>
      </c>
      <c r="O209" s="5">
        <f t="shared" si="9"/>
        <v>-1.23E-2</v>
      </c>
    </row>
    <row r="210" spans="2:15" x14ac:dyDescent="0.3">
      <c r="B210" s="4">
        <v>46017</v>
      </c>
      <c r="C210" s="5">
        <v>-2.0400000000000001E-2</v>
      </c>
      <c r="D210" s="5">
        <v>-1.09E-2</v>
      </c>
      <c r="F210" s="5">
        <f t="shared" si="10"/>
        <v>-1.1850000000000001E-2</v>
      </c>
      <c r="G210" s="5">
        <f t="shared" si="9"/>
        <v>-1.2800000000000001E-2</v>
      </c>
      <c r="H210" s="5">
        <f t="shared" si="9"/>
        <v>-1.375E-2</v>
      </c>
      <c r="I210" s="5">
        <f t="shared" si="9"/>
        <v>-1.4700000000000001E-2</v>
      </c>
      <c r="J210" s="5">
        <f t="shared" si="9"/>
        <v>-1.5650000000000001E-2</v>
      </c>
      <c r="K210" s="5">
        <f t="shared" si="9"/>
        <v>-1.66E-2</v>
      </c>
      <c r="L210" s="5">
        <f t="shared" si="9"/>
        <v>-1.755E-2</v>
      </c>
      <c r="M210" s="5">
        <f t="shared" si="9"/>
        <v>-1.8500000000000003E-2</v>
      </c>
      <c r="N210" s="5">
        <f t="shared" si="9"/>
        <v>-1.9450000000000002E-2</v>
      </c>
      <c r="O210" s="5">
        <f t="shared" si="9"/>
        <v>-2.0400000000000001E-2</v>
      </c>
    </row>
    <row r="211" spans="2:15" x14ac:dyDescent="0.3">
      <c r="B211" s="4">
        <v>46020</v>
      </c>
      <c r="C211" s="5">
        <v>7.4999999999999997E-3</v>
      </c>
      <c r="D211" s="5">
        <v>3.8999999999999998E-3</v>
      </c>
      <c r="F211" s="5">
        <f t="shared" si="10"/>
        <v>4.2599999999999999E-3</v>
      </c>
      <c r="G211" s="5">
        <f t="shared" si="9"/>
        <v>4.62E-3</v>
      </c>
      <c r="H211" s="5">
        <f t="shared" si="9"/>
        <v>4.9800000000000001E-3</v>
      </c>
      <c r="I211" s="5">
        <f t="shared" si="9"/>
        <v>5.3399999999999993E-3</v>
      </c>
      <c r="J211" s="5">
        <f t="shared" si="9"/>
        <v>5.7000000000000002E-3</v>
      </c>
      <c r="K211" s="5">
        <f t="shared" si="9"/>
        <v>6.0599999999999994E-3</v>
      </c>
      <c r="L211" s="5">
        <f t="shared" si="9"/>
        <v>6.4199999999999995E-3</v>
      </c>
      <c r="M211" s="5">
        <f t="shared" si="9"/>
        <v>6.7799999999999996E-3</v>
      </c>
      <c r="N211" s="5">
        <f t="shared" si="9"/>
        <v>7.1399999999999996E-3</v>
      </c>
      <c r="O211" s="5">
        <f t="shared" si="9"/>
        <v>7.4999999999999997E-3</v>
      </c>
    </row>
    <row r="212" spans="2:15" x14ac:dyDescent="0.3">
      <c r="B212" s="4">
        <v>46021</v>
      </c>
      <c r="C212" s="5">
        <v>-2E-3</v>
      </c>
      <c r="D212" s="5">
        <v>-2.0299999999999999E-2</v>
      </c>
      <c r="F212" s="5">
        <f t="shared" si="10"/>
        <v>-1.8469999999999997E-2</v>
      </c>
      <c r="G212" s="5">
        <f t="shared" si="9"/>
        <v>-1.6640000000000002E-2</v>
      </c>
      <c r="H212" s="5">
        <f t="shared" si="9"/>
        <v>-1.4809999999999999E-2</v>
      </c>
      <c r="I212" s="5">
        <f t="shared" si="9"/>
        <v>-1.2979999999999998E-2</v>
      </c>
      <c r="J212" s="5">
        <f t="shared" si="9"/>
        <v>-1.115E-2</v>
      </c>
      <c r="K212" s="5">
        <f t="shared" si="9"/>
        <v>-9.3200000000000002E-3</v>
      </c>
      <c r="L212" s="5">
        <f t="shared" si="9"/>
        <v>-7.490000000000001E-3</v>
      </c>
      <c r="M212" s="5">
        <f t="shared" si="9"/>
        <v>-5.6599999999999984E-3</v>
      </c>
      <c r="N212" s="5">
        <f t="shared" si="9"/>
        <v>-3.8299999999999992E-3</v>
      </c>
      <c r="O212" s="5">
        <f t="shared" si="9"/>
        <v>-2E-3</v>
      </c>
    </row>
    <row r="213" spans="2:15" x14ac:dyDescent="0.3">
      <c r="B213" s="4">
        <v>46022</v>
      </c>
      <c r="C213" s="5">
        <v>-1.9800000000000002E-2</v>
      </c>
      <c r="D213" s="5">
        <v>3.3999999999999998E-3</v>
      </c>
      <c r="F213" s="5">
        <f t="shared" si="10"/>
        <v>1.0799999999999994E-3</v>
      </c>
      <c r="G213" s="5">
        <f t="shared" si="9"/>
        <v>-1.2400000000000007E-3</v>
      </c>
      <c r="H213" s="5">
        <f t="shared" ref="G213:O241" si="11">H$5*$C213+(1-H$5)*$D213</f>
        <v>-3.5600000000000002E-3</v>
      </c>
      <c r="I213" s="5">
        <f t="shared" si="11"/>
        <v>-5.8800000000000015E-3</v>
      </c>
      <c r="J213" s="5">
        <f t="shared" si="11"/>
        <v>-8.2000000000000007E-3</v>
      </c>
      <c r="K213" s="5">
        <f t="shared" si="11"/>
        <v>-1.052E-2</v>
      </c>
      <c r="L213" s="5">
        <f t="shared" si="11"/>
        <v>-1.2840000000000001E-2</v>
      </c>
      <c r="M213" s="5">
        <f t="shared" si="11"/>
        <v>-1.5160000000000003E-2</v>
      </c>
      <c r="N213" s="5">
        <f t="shared" si="11"/>
        <v>-1.7480000000000002E-2</v>
      </c>
      <c r="O213" s="5">
        <f t="shared" si="11"/>
        <v>-1.9800000000000002E-2</v>
      </c>
    </row>
    <row r="214" spans="2:15" x14ac:dyDescent="0.3">
      <c r="B214" s="4">
        <v>46023</v>
      </c>
      <c r="C214" s="5">
        <v>1.15E-2</v>
      </c>
      <c r="D214" s="5">
        <v>2.07E-2</v>
      </c>
      <c r="F214" s="5">
        <f t="shared" si="10"/>
        <v>1.9779999999999999E-2</v>
      </c>
      <c r="G214" s="5">
        <f t="shared" si="11"/>
        <v>1.8860000000000002E-2</v>
      </c>
      <c r="H214" s="5">
        <f t="shared" si="11"/>
        <v>1.7939999999999998E-2</v>
      </c>
      <c r="I214" s="5">
        <f t="shared" si="11"/>
        <v>1.702E-2</v>
      </c>
      <c r="J214" s="5">
        <f t="shared" si="11"/>
        <v>1.61E-2</v>
      </c>
      <c r="K214" s="5">
        <f t="shared" si="11"/>
        <v>1.5180000000000001E-2</v>
      </c>
      <c r="L214" s="5">
        <f t="shared" si="11"/>
        <v>1.4260000000000002E-2</v>
      </c>
      <c r="M214" s="5">
        <f t="shared" si="11"/>
        <v>1.3339999999999998E-2</v>
      </c>
      <c r="N214" s="5">
        <f t="shared" si="11"/>
        <v>1.2419999999999999E-2</v>
      </c>
      <c r="O214" s="5">
        <f t="shared" si="11"/>
        <v>1.15E-2</v>
      </c>
    </row>
    <row r="215" spans="2:15" x14ac:dyDescent="0.3">
      <c r="B215" s="4">
        <v>46024</v>
      </c>
      <c r="C215" s="5">
        <v>-8.9999999999999993E-3</v>
      </c>
      <c r="D215" s="5">
        <v>1.1999999999999999E-3</v>
      </c>
      <c r="F215" s="5">
        <f t="shared" si="10"/>
        <v>1.8000000000000004E-4</v>
      </c>
      <c r="G215" s="5">
        <f t="shared" si="11"/>
        <v>-8.4000000000000003E-4</v>
      </c>
      <c r="H215" s="5">
        <f t="shared" si="11"/>
        <v>-1.8599999999999997E-3</v>
      </c>
      <c r="I215" s="5">
        <f t="shared" si="11"/>
        <v>-2.8799999999999997E-3</v>
      </c>
      <c r="J215" s="5">
        <f t="shared" si="11"/>
        <v>-3.8999999999999998E-3</v>
      </c>
      <c r="K215" s="5">
        <f t="shared" si="11"/>
        <v>-4.919999999999999E-3</v>
      </c>
      <c r="L215" s="5">
        <f t="shared" si="11"/>
        <v>-5.9399999999999991E-3</v>
      </c>
      <c r="M215" s="5">
        <f t="shared" si="11"/>
        <v>-6.96E-3</v>
      </c>
      <c r="N215" s="5">
        <f t="shared" si="11"/>
        <v>-7.9799999999999992E-3</v>
      </c>
      <c r="O215" s="5">
        <f t="shared" si="11"/>
        <v>-8.9999999999999993E-3</v>
      </c>
    </row>
    <row r="216" spans="2:15" x14ac:dyDescent="0.3">
      <c r="B216" s="4">
        <v>46027</v>
      </c>
      <c r="C216" s="5">
        <v>-2.2700000000000001E-2</v>
      </c>
      <c r="D216" s="5">
        <v>-8.3000000000000001E-3</v>
      </c>
      <c r="F216" s="5">
        <f t="shared" si="10"/>
        <v>-9.7400000000000004E-3</v>
      </c>
      <c r="G216" s="5">
        <f t="shared" si="11"/>
        <v>-1.1180000000000001E-2</v>
      </c>
      <c r="H216" s="5">
        <f t="shared" si="11"/>
        <v>-1.2619999999999999E-2</v>
      </c>
      <c r="I216" s="5">
        <f t="shared" si="11"/>
        <v>-1.4060000000000001E-2</v>
      </c>
      <c r="J216" s="5">
        <f t="shared" si="11"/>
        <v>-1.55E-2</v>
      </c>
      <c r="K216" s="5">
        <f t="shared" si="11"/>
        <v>-1.694E-2</v>
      </c>
      <c r="L216" s="5">
        <f t="shared" si="11"/>
        <v>-1.8380000000000001E-2</v>
      </c>
      <c r="M216" s="5">
        <f t="shared" si="11"/>
        <v>-1.9820000000000001E-2</v>
      </c>
      <c r="N216" s="5">
        <f t="shared" si="11"/>
        <v>-2.1260000000000001E-2</v>
      </c>
      <c r="O216" s="5">
        <f t="shared" si="11"/>
        <v>-2.2700000000000001E-2</v>
      </c>
    </row>
    <row r="217" spans="2:15" x14ac:dyDescent="0.3">
      <c r="B217" s="4">
        <v>46028</v>
      </c>
      <c r="C217" s="5">
        <v>-4.5999999999999999E-2</v>
      </c>
      <c r="D217" s="5">
        <v>-9.7999999999999997E-3</v>
      </c>
      <c r="F217" s="5">
        <f t="shared" si="10"/>
        <v>-1.342E-2</v>
      </c>
      <c r="G217" s="5">
        <f t="shared" si="11"/>
        <v>-1.704E-2</v>
      </c>
      <c r="H217" s="5">
        <f t="shared" si="11"/>
        <v>-2.0659999999999998E-2</v>
      </c>
      <c r="I217" s="5">
        <f t="shared" si="11"/>
        <v>-2.4279999999999999E-2</v>
      </c>
      <c r="J217" s="5">
        <f t="shared" si="11"/>
        <v>-2.7900000000000001E-2</v>
      </c>
      <c r="K217" s="5">
        <f t="shared" si="11"/>
        <v>-3.1519999999999999E-2</v>
      </c>
      <c r="L217" s="5">
        <f t="shared" si="11"/>
        <v>-3.5139999999999998E-2</v>
      </c>
      <c r="M217" s="5">
        <f t="shared" si="11"/>
        <v>-3.8759999999999996E-2</v>
      </c>
      <c r="N217" s="5">
        <f t="shared" si="11"/>
        <v>-4.2380000000000001E-2</v>
      </c>
      <c r="O217" s="5">
        <f t="shared" si="11"/>
        <v>-4.5999999999999999E-2</v>
      </c>
    </row>
    <row r="218" spans="2:15" x14ac:dyDescent="0.3">
      <c r="B218" s="4">
        <v>46029</v>
      </c>
      <c r="C218" s="5">
        <v>2.5000000000000001E-3</v>
      </c>
      <c r="D218" s="5">
        <v>6.7999999999999996E-3</v>
      </c>
      <c r="F218" s="5">
        <f t="shared" si="10"/>
        <v>6.3699999999999998E-3</v>
      </c>
      <c r="G218" s="5">
        <f t="shared" si="11"/>
        <v>5.9400000000000008E-3</v>
      </c>
      <c r="H218" s="5">
        <f t="shared" si="11"/>
        <v>5.5099999999999993E-3</v>
      </c>
      <c r="I218" s="5">
        <f t="shared" si="11"/>
        <v>5.0799999999999994E-3</v>
      </c>
      <c r="J218" s="5">
        <f t="shared" si="11"/>
        <v>4.6499999999999996E-3</v>
      </c>
      <c r="K218" s="5">
        <f t="shared" si="11"/>
        <v>4.2199999999999998E-3</v>
      </c>
      <c r="L218" s="5">
        <f t="shared" si="11"/>
        <v>3.79E-3</v>
      </c>
      <c r="M218" s="5">
        <f t="shared" si="11"/>
        <v>3.3599999999999997E-3</v>
      </c>
      <c r="N218" s="5">
        <f t="shared" si="11"/>
        <v>2.9300000000000003E-3</v>
      </c>
      <c r="O218" s="5">
        <f t="shared" si="11"/>
        <v>2.5000000000000001E-3</v>
      </c>
    </row>
    <row r="219" spans="2:15" x14ac:dyDescent="0.3">
      <c r="B219" s="4">
        <v>46030</v>
      </c>
      <c r="C219" s="5">
        <v>-2.5000000000000001E-2</v>
      </c>
      <c r="D219" s="5">
        <v>9.2999999999999992E-3</v>
      </c>
      <c r="F219" s="5">
        <f t="shared" si="10"/>
        <v>5.8699999999999985E-3</v>
      </c>
      <c r="G219" s="5">
        <f t="shared" si="11"/>
        <v>2.4399999999999986E-3</v>
      </c>
      <c r="H219" s="5">
        <f t="shared" si="11"/>
        <v>-9.9000000000000043E-4</v>
      </c>
      <c r="I219" s="5">
        <f t="shared" si="11"/>
        <v>-4.4200000000000029E-3</v>
      </c>
      <c r="J219" s="5">
        <f t="shared" si="11"/>
        <v>-7.8500000000000011E-3</v>
      </c>
      <c r="K219" s="5">
        <f t="shared" si="11"/>
        <v>-1.128E-2</v>
      </c>
      <c r="L219" s="5">
        <f t="shared" si="11"/>
        <v>-1.4709999999999997E-2</v>
      </c>
      <c r="M219" s="5">
        <f t="shared" si="11"/>
        <v>-1.8140000000000003E-2</v>
      </c>
      <c r="N219" s="5">
        <f t="shared" si="11"/>
        <v>-2.1570000000000002E-2</v>
      </c>
      <c r="O219" s="5">
        <f t="shared" si="11"/>
        <v>-2.5000000000000001E-2</v>
      </c>
    </row>
    <row r="220" spans="2:15" x14ac:dyDescent="0.3">
      <c r="B220" s="4">
        <v>46031</v>
      </c>
      <c r="C220" s="5">
        <v>-3.3999999999999998E-3</v>
      </c>
      <c r="D220" s="5">
        <v>2.8E-3</v>
      </c>
      <c r="F220" s="5">
        <f t="shared" si="10"/>
        <v>2.1800000000000001E-3</v>
      </c>
      <c r="G220" s="5">
        <f t="shared" si="11"/>
        <v>1.5600000000000002E-3</v>
      </c>
      <c r="H220" s="5">
        <f t="shared" si="11"/>
        <v>9.4000000000000008E-4</v>
      </c>
      <c r="I220" s="5">
        <f t="shared" si="11"/>
        <v>3.1999999999999976E-4</v>
      </c>
      <c r="J220" s="5">
        <f t="shared" si="11"/>
        <v>-2.9999999999999992E-4</v>
      </c>
      <c r="K220" s="5">
        <f t="shared" si="11"/>
        <v>-9.1999999999999959E-4</v>
      </c>
      <c r="L220" s="5">
        <f t="shared" si="11"/>
        <v>-1.5399999999999997E-3</v>
      </c>
      <c r="M220" s="5">
        <f t="shared" si="11"/>
        <v>-2.1600000000000005E-3</v>
      </c>
      <c r="N220" s="5">
        <f t="shared" si="11"/>
        <v>-2.7799999999999999E-3</v>
      </c>
      <c r="O220" s="5">
        <f t="shared" si="11"/>
        <v>-3.3999999999999998E-3</v>
      </c>
    </row>
    <row r="221" spans="2:15" x14ac:dyDescent="0.3">
      <c r="B221" s="4">
        <v>46034</v>
      </c>
      <c r="C221" s="5">
        <v>-5.7999999999999996E-3</v>
      </c>
      <c r="D221" s="5">
        <v>3.2000000000000002E-3</v>
      </c>
      <c r="F221" s="5">
        <f t="shared" si="10"/>
        <v>2.3E-3</v>
      </c>
      <c r="G221" s="5">
        <f t="shared" si="11"/>
        <v>1.4000000000000002E-3</v>
      </c>
      <c r="H221" s="5">
        <f t="shared" si="11"/>
        <v>5.0000000000000001E-4</v>
      </c>
      <c r="I221" s="5">
        <f t="shared" si="11"/>
        <v>-3.9999999999999996E-4</v>
      </c>
      <c r="J221" s="5">
        <f t="shared" si="11"/>
        <v>-1.2999999999999997E-3</v>
      </c>
      <c r="K221" s="5">
        <f t="shared" si="11"/>
        <v>-2.1999999999999997E-3</v>
      </c>
      <c r="L221" s="5">
        <f t="shared" si="11"/>
        <v>-3.099999999999999E-3</v>
      </c>
      <c r="M221" s="5">
        <f t="shared" si="11"/>
        <v>-4.0000000000000001E-3</v>
      </c>
      <c r="N221" s="5">
        <f t="shared" si="11"/>
        <v>-4.8999999999999998E-3</v>
      </c>
      <c r="O221" s="5">
        <f t="shared" si="11"/>
        <v>-5.7999999999999996E-3</v>
      </c>
    </row>
    <row r="222" spans="2:15" x14ac:dyDescent="0.3">
      <c r="B222" s="4">
        <v>46035</v>
      </c>
      <c r="C222" s="5">
        <v>2.0999999999999999E-3</v>
      </c>
      <c r="D222" s="5">
        <v>3.2599999999999997E-2</v>
      </c>
      <c r="F222" s="5">
        <f t="shared" si="10"/>
        <v>2.9549999999999996E-2</v>
      </c>
      <c r="G222" s="5">
        <f t="shared" si="11"/>
        <v>2.6499999999999999E-2</v>
      </c>
      <c r="H222" s="5">
        <f t="shared" si="11"/>
        <v>2.3449999999999995E-2</v>
      </c>
      <c r="I222" s="5">
        <f t="shared" si="11"/>
        <v>2.0399999999999998E-2</v>
      </c>
      <c r="J222" s="5">
        <f t="shared" si="11"/>
        <v>1.7349999999999997E-2</v>
      </c>
      <c r="K222" s="5">
        <f t="shared" si="11"/>
        <v>1.43E-2</v>
      </c>
      <c r="L222" s="5">
        <f t="shared" si="11"/>
        <v>1.125E-2</v>
      </c>
      <c r="M222" s="5">
        <f t="shared" si="11"/>
        <v>8.199999999999999E-3</v>
      </c>
      <c r="N222" s="5">
        <f t="shared" si="11"/>
        <v>5.1499999999999992E-3</v>
      </c>
      <c r="O222" s="5">
        <f t="shared" si="11"/>
        <v>2.0999999999999999E-3</v>
      </c>
    </row>
    <row r="223" spans="2:15" x14ac:dyDescent="0.3">
      <c r="B223" s="4">
        <v>46036</v>
      </c>
      <c r="C223" s="5">
        <v>-9.4000000000000004E-3</v>
      </c>
      <c r="D223" s="5">
        <v>1.6E-2</v>
      </c>
      <c r="F223" s="5">
        <f t="shared" si="10"/>
        <v>1.3460000000000001E-2</v>
      </c>
      <c r="G223" s="5">
        <f t="shared" si="11"/>
        <v>1.0920000000000001E-2</v>
      </c>
      <c r="H223" s="5">
        <f t="shared" si="11"/>
        <v>8.3800000000000003E-3</v>
      </c>
      <c r="I223" s="5">
        <f t="shared" si="11"/>
        <v>5.8399999999999988E-3</v>
      </c>
      <c r="J223" s="5">
        <f t="shared" si="11"/>
        <v>3.3E-3</v>
      </c>
      <c r="K223" s="5">
        <f t="shared" si="11"/>
        <v>7.6000000000000026E-4</v>
      </c>
      <c r="L223" s="5">
        <f t="shared" si="11"/>
        <v>-1.7799999999999995E-3</v>
      </c>
      <c r="M223" s="5">
        <f t="shared" si="11"/>
        <v>-4.3200000000000009E-3</v>
      </c>
      <c r="N223" s="5">
        <f t="shared" si="11"/>
        <v>-6.8600000000000006E-3</v>
      </c>
      <c r="O223" s="5">
        <f t="shared" si="11"/>
        <v>-9.4000000000000004E-3</v>
      </c>
    </row>
    <row r="224" spans="2:15" x14ac:dyDescent="0.3">
      <c r="B224" s="4">
        <v>46038</v>
      </c>
      <c r="C224" s="5">
        <v>-1.9599999999999999E-2</v>
      </c>
      <c r="D224" s="5">
        <v>-3.8600000000000002E-2</v>
      </c>
      <c r="F224" s="5">
        <f t="shared" si="10"/>
        <v>-3.6699999999999997E-2</v>
      </c>
      <c r="G224" s="5">
        <f t="shared" si="11"/>
        <v>-3.4800000000000005E-2</v>
      </c>
      <c r="H224" s="5">
        <f t="shared" si="11"/>
        <v>-3.2899999999999999E-2</v>
      </c>
      <c r="I224" s="5">
        <f t="shared" si="11"/>
        <v>-3.1E-2</v>
      </c>
      <c r="J224" s="5">
        <f t="shared" si="11"/>
        <v>-2.9100000000000001E-2</v>
      </c>
      <c r="K224" s="5">
        <f t="shared" si="11"/>
        <v>-2.7200000000000002E-2</v>
      </c>
      <c r="L224" s="5">
        <f t="shared" si="11"/>
        <v>-2.53E-2</v>
      </c>
      <c r="M224" s="5">
        <f t="shared" si="11"/>
        <v>-2.3399999999999997E-2</v>
      </c>
      <c r="N224" s="5">
        <f t="shared" si="11"/>
        <v>-2.1499999999999998E-2</v>
      </c>
      <c r="O224" s="5">
        <f t="shared" si="11"/>
        <v>-1.9599999999999999E-2</v>
      </c>
    </row>
    <row r="225" spans="2:15" x14ac:dyDescent="0.3">
      <c r="B225" s="4">
        <v>46041</v>
      </c>
      <c r="C225" s="5">
        <v>-1.9E-2</v>
      </c>
      <c r="D225" s="5">
        <v>-2.2100000000000002E-2</v>
      </c>
      <c r="F225" s="5">
        <f t="shared" si="10"/>
        <v>-2.179E-2</v>
      </c>
      <c r="G225" s="5">
        <f t="shared" si="11"/>
        <v>-2.1480000000000003E-2</v>
      </c>
      <c r="H225" s="5">
        <f t="shared" si="11"/>
        <v>-2.1169999999999998E-2</v>
      </c>
      <c r="I225" s="5">
        <f t="shared" si="11"/>
        <v>-2.086E-2</v>
      </c>
      <c r="J225" s="5">
        <f t="shared" si="11"/>
        <v>-2.0549999999999999E-2</v>
      </c>
      <c r="K225" s="5">
        <f t="shared" si="11"/>
        <v>-2.0240000000000001E-2</v>
      </c>
      <c r="L225" s="5">
        <f t="shared" si="11"/>
        <v>-1.993E-2</v>
      </c>
      <c r="M225" s="5">
        <f t="shared" si="11"/>
        <v>-1.9619999999999999E-2</v>
      </c>
      <c r="N225" s="5">
        <f t="shared" si="11"/>
        <v>-1.9310000000000001E-2</v>
      </c>
      <c r="O225" s="5">
        <f t="shared" si="11"/>
        <v>-1.9E-2</v>
      </c>
    </row>
    <row r="226" spans="2:15" x14ac:dyDescent="0.3">
      <c r="B226" s="4">
        <v>46042</v>
      </c>
      <c r="C226" s="5">
        <v>-2.3099999999999999E-2</v>
      </c>
      <c r="D226" s="5">
        <v>-4.1799999999999997E-2</v>
      </c>
      <c r="F226" s="5">
        <f t="shared" si="10"/>
        <v>-3.993E-2</v>
      </c>
      <c r="G226" s="5">
        <f t="shared" si="11"/>
        <v>-3.8059999999999997E-2</v>
      </c>
      <c r="H226" s="5">
        <f t="shared" si="11"/>
        <v>-3.6189999999999993E-2</v>
      </c>
      <c r="I226" s="5">
        <f t="shared" si="11"/>
        <v>-3.4319999999999996E-2</v>
      </c>
      <c r="J226" s="5">
        <f t="shared" si="11"/>
        <v>-3.245E-2</v>
      </c>
      <c r="K226" s="5">
        <f t="shared" si="11"/>
        <v>-3.0579999999999996E-2</v>
      </c>
      <c r="L226" s="5">
        <f t="shared" si="11"/>
        <v>-2.8709999999999999E-2</v>
      </c>
      <c r="M226" s="5">
        <f t="shared" si="11"/>
        <v>-2.6839999999999996E-2</v>
      </c>
      <c r="N226" s="5">
        <f t="shared" si="11"/>
        <v>-2.4969999999999999E-2</v>
      </c>
      <c r="O226" s="5">
        <f t="shared" si="11"/>
        <v>-2.3099999999999999E-2</v>
      </c>
    </row>
    <row r="227" spans="2:15" x14ac:dyDescent="0.3">
      <c r="B227" s="4">
        <v>46043</v>
      </c>
      <c r="C227" s="5">
        <v>2.5899999999999999E-2</v>
      </c>
      <c r="D227" s="5">
        <v>5.16E-2</v>
      </c>
      <c r="F227" s="5">
        <f t="shared" si="10"/>
        <v>4.9030000000000004E-2</v>
      </c>
      <c r="G227" s="5">
        <f t="shared" si="11"/>
        <v>4.6460000000000001E-2</v>
      </c>
      <c r="H227" s="5">
        <f t="shared" si="11"/>
        <v>4.3889999999999998E-2</v>
      </c>
      <c r="I227" s="5">
        <f t="shared" si="11"/>
        <v>4.1319999999999996E-2</v>
      </c>
      <c r="J227" s="5">
        <f t="shared" si="11"/>
        <v>3.875E-2</v>
      </c>
      <c r="K227" s="5">
        <f t="shared" si="11"/>
        <v>3.6180000000000004E-2</v>
      </c>
      <c r="L227" s="5">
        <f t="shared" si="11"/>
        <v>3.3610000000000001E-2</v>
      </c>
      <c r="M227" s="5">
        <f t="shared" si="11"/>
        <v>3.1039999999999998E-2</v>
      </c>
      <c r="N227" s="5">
        <f t="shared" si="11"/>
        <v>2.8469999999999999E-2</v>
      </c>
      <c r="O227" s="5">
        <f t="shared" si="11"/>
        <v>2.5899999999999999E-2</v>
      </c>
    </row>
    <row r="228" spans="2:15" x14ac:dyDescent="0.3">
      <c r="B228" s="4">
        <v>46044</v>
      </c>
      <c r="C228" s="5">
        <v>-4.2599999999999999E-2</v>
      </c>
      <c r="D228" s="5">
        <v>-2.6800000000000001E-2</v>
      </c>
      <c r="F228" s="5">
        <f t="shared" si="10"/>
        <v>-2.8380000000000002E-2</v>
      </c>
      <c r="G228" s="5">
        <f t="shared" si="11"/>
        <v>-2.9960000000000001E-2</v>
      </c>
      <c r="H228" s="5">
        <f t="shared" si="11"/>
        <v>-3.1539999999999999E-2</v>
      </c>
      <c r="I228" s="5">
        <f t="shared" si="11"/>
        <v>-3.3119999999999997E-2</v>
      </c>
      <c r="J228" s="5">
        <f t="shared" si="11"/>
        <v>-3.4700000000000002E-2</v>
      </c>
      <c r="K228" s="5">
        <f t="shared" si="11"/>
        <v>-3.628E-2</v>
      </c>
      <c r="L228" s="5">
        <f t="shared" si="11"/>
        <v>-3.7859999999999998E-2</v>
      </c>
      <c r="M228" s="5">
        <f t="shared" si="11"/>
        <v>-3.9439999999999996E-2</v>
      </c>
      <c r="N228" s="5">
        <f t="shared" si="11"/>
        <v>-4.1020000000000001E-2</v>
      </c>
      <c r="O228" s="5">
        <f t="shared" si="11"/>
        <v>-4.2599999999999999E-2</v>
      </c>
    </row>
    <row r="229" spans="2:15" x14ac:dyDescent="0.3">
      <c r="B229" s="4">
        <v>46045</v>
      </c>
      <c r="C229" s="5">
        <v>-2.6700000000000002E-2</v>
      </c>
      <c r="D229" s="5">
        <v>-6.2300000000000001E-2</v>
      </c>
      <c r="F229" s="5">
        <f t="shared" si="10"/>
        <v>-5.8740000000000001E-2</v>
      </c>
      <c r="G229" s="5">
        <f t="shared" si="11"/>
        <v>-5.5180000000000007E-2</v>
      </c>
      <c r="H229" s="5">
        <f t="shared" si="11"/>
        <v>-5.1619999999999999E-2</v>
      </c>
      <c r="I229" s="5">
        <f t="shared" si="11"/>
        <v>-4.8059999999999999E-2</v>
      </c>
      <c r="J229" s="5">
        <f t="shared" si="11"/>
        <v>-4.4499999999999998E-2</v>
      </c>
      <c r="K229" s="5">
        <f t="shared" si="11"/>
        <v>-4.0940000000000004E-2</v>
      </c>
      <c r="L229" s="5">
        <f t="shared" si="11"/>
        <v>-3.7379999999999997E-2</v>
      </c>
      <c r="M229" s="5">
        <f t="shared" si="11"/>
        <v>-3.3820000000000003E-2</v>
      </c>
      <c r="N229" s="5">
        <f t="shared" si="11"/>
        <v>-3.0260000000000002E-2</v>
      </c>
      <c r="O229" s="5">
        <f t="shared" si="11"/>
        <v>-2.6700000000000002E-2</v>
      </c>
    </row>
    <row r="230" spans="2:15" x14ac:dyDescent="0.3">
      <c r="B230" s="4">
        <v>46049</v>
      </c>
      <c r="C230" s="5">
        <v>1.6000000000000001E-3</v>
      </c>
      <c r="D230" s="5">
        <v>-1.8700000000000001E-2</v>
      </c>
      <c r="F230" s="5">
        <f t="shared" si="10"/>
        <v>-1.6670000000000001E-2</v>
      </c>
      <c r="G230" s="5">
        <f t="shared" si="11"/>
        <v>-1.464E-2</v>
      </c>
      <c r="H230" s="5">
        <f t="shared" si="11"/>
        <v>-1.2610000000000001E-2</v>
      </c>
      <c r="I230" s="5">
        <f t="shared" si="11"/>
        <v>-1.0580000000000001E-2</v>
      </c>
      <c r="J230" s="5">
        <f t="shared" si="11"/>
        <v>-8.5500000000000003E-3</v>
      </c>
      <c r="K230" s="5">
        <f t="shared" si="11"/>
        <v>-6.5200000000000006E-3</v>
      </c>
      <c r="L230" s="5">
        <f t="shared" si="11"/>
        <v>-4.4900000000000009E-3</v>
      </c>
      <c r="M230" s="5">
        <f t="shared" si="11"/>
        <v>-2.4599999999999995E-3</v>
      </c>
      <c r="N230" s="5">
        <f t="shared" si="11"/>
        <v>-4.2999999999999961E-4</v>
      </c>
      <c r="O230" s="5">
        <f t="shared" si="11"/>
        <v>1.6000000000000001E-3</v>
      </c>
    </row>
    <row r="231" spans="2:15" x14ac:dyDescent="0.3">
      <c r="B231" s="4">
        <v>46050</v>
      </c>
      <c r="C231" s="5">
        <v>3.5999999999999997E-2</v>
      </c>
      <c r="D231" s="5">
        <v>4.9000000000000002E-2</v>
      </c>
      <c r="F231" s="5">
        <f t="shared" si="10"/>
        <v>4.7699999999999999E-2</v>
      </c>
      <c r="G231" s="5">
        <f t="shared" si="11"/>
        <v>4.6400000000000004E-2</v>
      </c>
      <c r="H231" s="5">
        <f t="shared" si="11"/>
        <v>4.5099999999999994E-2</v>
      </c>
      <c r="I231" s="5">
        <f t="shared" si="11"/>
        <v>4.3799999999999999E-2</v>
      </c>
      <c r="J231" s="5">
        <f t="shared" si="11"/>
        <v>4.2499999999999996E-2</v>
      </c>
      <c r="K231" s="5">
        <f t="shared" si="11"/>
        <v>4.1200000000000001E-2</v>
      </c>
      <c r="L231" s="5">
        <f t="shared" si="11"/>
        <v>3.9899999999999998E-2</v>
      </c>
      <c r="M231" s="5">
        <f t="shared" si="11"/>
        <v>3.8599999999999995E-2</v>
      </c>
      <c r="N231" s="5">
        <f t="shared" si="11"/>
        <v>3.73E-2</v>
      </c>
      <c r="O231" s="5">
        <f t="shared" si="11"/>
        <v>3.5999999999999997E-2</v>
      </c>
    </row>
    <row r="232" spans="2:15" x14ac:dyDescent="0.3">
      <c r="B232" s="4">
        <v>46051</v>
      </c>
      <c r="C232" s="5">
        <v>1.2800000000000001E-2</v>
      </c>
      <c r="D232" s="5">
        <v>3.4000000000000002E-2</v>
      </c>
      <c r="F232" s="5">
        <f t="shared" si="10"/>
        <v>3.1880000000000006E-2</v>
      </c>
      <c r="G232" s="5">
        <f t="shared" si="11"/>
        <v>2.9760000000000002E-2</v>
      </c>
      <c r="H232" s="5">
        <f t="shared" si="11"/>
        <v>2.7640000000000001E-2</v>
      </c>
      <c r="I232" s="5">
        <f t="shared" si="11"/>
        <v>2.5520000000000001E-2</v>
      </c>
      <c r="J232" s="5">
        <f t="shared" si="11"/>
        <v>2.3400000000000001E-2</v>
      </c>
      <c r="K232" s="5">
        <f t="shared" si="11"/>
        <v>2.128E-2</v>
      </c>
      <c r="L232" s="5">
        <f t="shared" si="11"/>
        <v>1.9160000000000003E-2</v>
      </c>
      <c r="M232" s="5">
        <f t="shared" si="11"/>
        <v>1.704E-2</v>
      </c>
      <c r="N232" s="5">
        <f t="shared" si="11"/>
        <v>1.4919999999999999E-2</v>
      </c>
      <c r="O232" s="5">
        <f t="shared" si="11"/>
        <v>1.2800000000000001E-2</v>
      </c>
    </row>
    <row r="233" spans="2:15" x14ac:dyDescent="0.3">
      <c r="B233" s="4">
        <v>46052</v>
      </c>
      <c r="C233" s="5">
        <v>-5.4600000000000003E-2</v>
      </c>
      <c r="D233" s="5">
        <v>-6.4000000000000003E-3</v>
      </c>
      <c r="F233" s="5">
        <f t="shared" si="10"/>
        <v>-1.1220000000000001E-2</v>
      </c>
      <c r="G233" s="5">
        <f t="shared" si="11"/>
        <v>-1.6040000000000002E-2</v>
      </c>
      <c r="H233" s="5">
        <f t="shared" si="11"/>
        <v>-2.0859999999999997E-2</v>
      </c>
      <c r="I233" s="5">
        <f t="shared" si="11"/>
        <v>-2.5680000000000001E-2</v>
      </c>
      <c r="J233" s="5">
        <f t="shared" si="11"/>
        <v>-3.0500000000000003E-2</v>
      </c>
      <c r="K233" s="5">
        <f t="shared" si="11"/>
        <v>-3.5319999999999997E-2</v>
      </c>
      <c r="L233" s="5">
        <f t="shared" si="11"/>
        <v>-4.0139999999999995E-2</v>
      </c>
      <c r="M233" s="5">
        <f t="shared" si="11"/>
        <v>-4.496E-2</v>
      </c>
      <c r="N233" s="5">
        <f t="shared" si="11"/>
        <v>-4.9780000000000005E-2</v>
      </c>
      <c r="O233" s="5">
        <f t="shared" si="11"/>
        <v>-5.4600000000000003E-2</v>
      </c>
    </row>
    <row r="234" spans="2:15" x14ac:dyDescent="0.3">
      <c r="B234" s="4">
        <v>46054</v>
      </c>
      <c r="C234" s="5">
        <v>1.49E-2</v>
      </c>
      <c r="D234" s="5">
        <v>-1.4800000000000001E-2</v>
      </c>
      <c r="F234" s="5">
        <f t="shared" si="10"/>
        <v>-1.183E-2</v>
      </c>
      <c r="G234" s="5">
        <f t="shared" si="11"/>
        <v>-8.8600000000000016E-3</v>
      </c>
      <c r="H234" s="5">
        <f t="shared" si="11"/>
        <v>-5.8899999999999994E-3</v>
      </c>
      <c r="I234" s="5">
        <f t="shared" si="11"/>
        <v>-2.9200000000000007E-3</v>
      </c>
      <c r="J234" s="5">
        <f t="shared" si="11"/>
        <v>4.9999999999999697E-5</v>
      </c>
      <c r="K234" s="5">
        <f t="shared" si="11"/>
        <v>3.0199999999999992E-3</v>
      </c>
      <c r="L234" s="5">
        <f t="shared" si="11"/>
        <v>5.9899999999999988E-3</v>
      </c>
      <c r="M234" s="5">
        <f t="shared" si="11"/>
        <v>8.9600000000000009E-3</v>
      </c>
      <c r="N234" s="5">
        <f t="shared" si="11"/>
        <v>1.193E-2</v>
      </c>
      <c r="O234" s="5">
        <f t="shared" si="11"/>
        <v>1.49E-2</v>
      </c>
    </row>
    <row r="235" spans="2:15" x14ac:dyDescent="0.3">
      <c r="B235" s="4">
        <v>46055</v>
      </c>
      <c r="C235" s="5">
        <v>-2.53E-2</v>
      </c>
      <c r="D235" s="5">
        <v>1.15E-2</v>
      </c>
      <c r="F235" s="5">
        <f t="shared" si="10"/>
        <v>7.8200000000000006E-3</v>
      </c>
      <c r="G235" s="5">
        <f t="shared" si="11"/>
        <v>4.1399999999999996E-3</v>
      </c>
      <c r="H235" s="5">
        <f t="shared" si="11"/>
        <v>4.6000000000000034E-4</v>
      </c>
      <c r="I235" s="5">
        <f t="shared" si="11"/>
        <v>-3.2200000000000006E-3</v>
      </c>
      <c r="J235" s="5">
        <f t="shared" si="11"/>
        <v>-6.8999999999999999E-3</v>
      </c>
      <c r="K235" s="5">
        <f t="shared" si="11"/>
        <v>-1.0579999999999999E-2</v>
      </c>
      <c r="L235" s="5">
        <f t="shared" si="11"/>
        <v>-1.426E-2</v>
      </c>
      <c r="M235" s="5">
        <f t="shared" si="11"/>
        <v>-1.7940000000000001E-2</v>
      </c>
      <c r="N235" s="5">
        <f t="shared" si="11"/>
        <v>-2.162E-2</v>
      </c>
      <c r="O235" s="5">
        <f t="shared" si="11"/>
        <v>-2.53E-2</v>
      </c>
    </row>
    <row r="236" spans="2:15" x14ac:dyDescent="0.3">
      <c r="B236" s="4">
        <v>46056</v>
      </c>
      <c r="C236" s="5">
        <v>3.6999999999999998E-2</v>
      </c>
      <c r="D236" s="5">
        <v>2.6200000000000001E-2</v>
      </c>
      <c r="F236" s="5">
        <f t="shared" si="10"/>
        <v>2.7279999999999999E-2</v>
      </c>
      <c r="G236" s="5">
        <f t="shared" si="11"/>
        <v>2.8360000000000003E-2</v>
      </c>
      <c r="H236" s="5">
        <f t="shared" si="11"/>
        <v>2.9439999999999997E-2</v>
      </c>
      <c r="I236" s="5">
        <f t="shared" si="11"/>
        <v>3.0520000000000002E-2</v>
      </c>
      <c r="J236" s="5">
        <f t="shared" si="11"/>
        <v>3.1600000000000003E-2</v>
      </c>
      <c r="K236" s="5">
        <f t="shared" si="11"/>
        <v>3.2680000000000001E-2</v>
      </c>
      <c r="L236" s="5">
        <f t="shared" si="11"/>
        <v>3.3759999999999998E-2</v>
      </c>
      <c r="M236" s="5">
        <f t="shared" si="11"/>
        <v>3.4840000000000003E-2</v>
      </c>
      <c r="N236" s="5">
        <f t="shared" si="11"/>
        <v>3.5919999999999994E-2</v>
      </c>
      <c r="O236" s="5">
        <f t="shared" si="11"/>
        <v>3.6999999999999998E-2</v>
      </c>
    </row>
    <row r="237" spans="2:15" x14ac:dyDescent="0.3">
      <c r="B237" s="4">
        <v>46057</v>
      </c>
      <c r="C237" s="5">
        <v>1.0500000000000001E-2</v>
      </c>
      <c r="D237" s="5">
        <v>5.1299999999999998E-2</v>
      </c>
      <c r="F237" s="5">
        <f t="shared" si="10"/>
        <v>4.7220000000000005E-2</v>
      </c>
      <c r="G237" s="5">
        <f t="shared" si="11"/>
        <v>4.3139999999999998E-2</v>
      </c>
      <c r="H237" s="5">
        <f t="shared" si="11"/>
        <v>3.9059999999999997E-2</v>
      </c>
      <c r="I237" s="5">
        <f t="shared" si="11"/>
        <v>3.4979999999999997E-2</v>
      </c>
      <c r="J237" s="5">
        <f t="shared" si="11"/>
        <v>3.09E-2</v>
      </c>
      <c r="K237" s="5">
        <f t="shared" si="11"/>
        <v>2.682E-2</v>
      </c>
      <c r="L237" s="5">
        <f t="shared" si="11"/>
        <v>2.2740000000000003E-2</v>
      </c>
      <c r="M237" s="5">
        <f t="shared" si="11"/>
        <v>1.8659999999999996E-2</v>
      </c>
      <c r="N237" s="5">
        <f t="shared" si="11"/>
        <v>1.4579999999999999E-2</v>
      </c>
      <c r="O237" s="5">
        <f t="shared" si="11"/>
        <v>1.0500000000000001E-2</v>
      </c>
    </row>
    <row r="238" spans="2:15" x14ac:dyDescent="0.3">
      <c r="B238" s="4">
        <v>46058</v>
      </c>
      <c r="C238" s="5">
        <v>1.1000000000000001E-3</v>
      </c>
      <c r="D238" s="5">
        <v>-2.4799999999999999E-2</v>
      </c>
      <c r="F238" s="5">
        <f t="shared" si="10"/>
        <v>-2.2210000000000001E-2</v>
      </c>
      <c r="G238" s="5">
        <f t="shared" si="11"/>
        <v>-1.9619999999999999E-2</v>
      </c>
      <c r="H238" s="5">
        <f t="shared" si="11"/>
        <v>-1.7029999999999997E-2</v>
      </c>
      <c r="I238" s="5">
        <f t="shared" si="11"/>
        <v>-1.444E-2</v>
      </c>
      <c r="J238" s="5">
        <f t="shared" si="11"/>
        <v>-1.1849999999999999E-2</v>
      </c>
      <c r="K238" s="5">
        <f t="shared" si="11"/>
        <v>-9.2600000000000009E-3</v>
      </c>
      <c r="L238" s="5">
        <f t="shared" si="11"/>
        <v>-6.6700000000000006E-3</v>
      </c>
      <c r="M238" s="5">
        <f t="shared" si="11"/>
        <v>-4.0799999999999986E-3</v>
      </c>
      <c r="N238" s="5">
        <f t="shared" si="11"/>
        <v>-1.4899999999999996E-3</v>
      </c>
      <c r="O238" s="5">
        <f t="shared" si="11"/>
        <v>1.1000000000000001E-3</v>
      </c>
    </row>
    <row r="239" spans="2:15" x14ac:dyDescent="0.3">
      <c r="B239" s="4">
        <v>46059</v>
      </c>
      <c r="C239" s="5">
        <v>-4.4999999999999997E-3</v>
      </c>
      <c r="D239" s="5">
        <v>-1.15E-2</v>
      </c>
      <c r="F239" s="5">
        <f t="shared" si="10"/>
        <v>-1.0800000000000001E-2</v>
      </c>
      <c r="G239" s="5">
        <f t="shared" si="11"/>
        <v>-1.01E-2</v>
      </c>
      <c r="H239" s="5">
        <f t="shared" si="11"/>
        <v>-9.4000000000000004E-3</v>
      </c>
      <c r="I239" s="5">
        <f t="shared" si="11"/>
        <v>-8.6999999999999994E-3</v>
      </c>
      <c r="J239" s="5">
        <f t="shared" si="11"/>
        <v>-8.0000000000000002E-3</v>
      </c>
      <c r="K239" s="5">
        <f t="shared" si="11"/>
        <v>-7.2999999999999992E-3</v>
      </c>
      <c r="L239" s="5">
        <f t="shared" si="11"/>
        <v>-6.6E-3</v>
      </c>
      <c r="M239" s="5">
        <f t="shared" si="11"/>
        <v>-5.899999999999999E-3</v>
      </c>
      <c r="N239" s="5">
        <f t="shared" si="11"/>
        <v>-5.1999999999999998E-3</v>
      </c>
      <c r="O239" s="5">
        <f t="shared" si="11"/>
        <v>-4.4999999999999997E-3</v>
      </c>
    </row>
    <row r="240" spans="2:15" x14ac:dyDescent="0.3">
      <c r="B240" s="4">
        <v>46062</v>
      </c>
      <c r="C240" s="5">
        <v>4.2799999999999998E-2</v>
      </c>
      <c r="D240" s="5">
        <v>1.8700000000000001E-2</v>
      </c>
      <c r="F240" s="5">
        <f t="shared" si="10"/>
        <v>2.111E-2</v>
      </c>
      <c r="G240" s="5">
        <f t="shared" si="11"/>
        <v>2.3519999999999999E-2</v>
      </c>
      <c r="H240" s="5">
        <f t="shared" si="11"/>
        <v>2.5930000000000002E-2</v>
      </c>
      <c r="I240" s="5">
        <f t="shared" si="11"/>
        <v>2.8340000000000001E-2</v>
      </c>
      <c r="J240" s="5">
        <f t="shared" si="11"/>
        <v>3.075E-2</v>
      </c>
      <c r="K240" s="5">
        <f t="shared" si="11"/>
        <v>3.3159999999999995E-2</v>
      </c>
      <c r="L240" s="5">
        <f t="shared" si="11"/>
        <v>3.5569999999999997E-2</v>
      </c>
      <c r="M240" s="5">
        <f t="shared" si="11"/>
        <v>3.798E-2</v>
      </c>
      <c r="N240" s="5">
        <f t="shared" si="11"/>
        <v>4.0389999999999995E-2</v>
      </c>
      <c r="O240" s="5">
        <f t="shared" si="11"/>
        <v>4.2799999999999998E-2</v>
      </c>
    </row>
    <row r="241" spans="2:15" x14ac:dyDescent="0.3">
      <c r="B241" s="4">
        <v>46063</v>
      </c>
      <c r="C241" s="5">
        <v>6.6100000000000006E-2</v>
      </c>
      <c r="D241" s="5">
        <v>5.1799999999999999E-2</v>
      </c>
      <c r="F241" s="5">
        <f t="shared" si="10"/>
        <v>5.323E-2</v>
      </c>
      <c r="G241" s="5">
        <f t="shared" si="11"/>
        <v>5.4660000000000007E-2</v>
      </c>
      <c r="H241" s="5">
        <f t="shared" si="11"/>
        <v>5.6089999999999994E-2</v>
      </c>
      <c r="I241" s="5">
        <f t="shared" si="11"/>
        <v>5.7520000000000002E-2</v>
      </c>
      <c r="J241" s="5">
        <f t="shared" si="11"/>
        <v>5.8950000000000002E-2</v>
      </c>
      <c r="K241" s="5">
        <f t="shared" ref="G241:O254" si="12">K$5*$C241+(1-K$5)*$D241</f>
        <v>6.0380000000000003E-2</v>
      </c>
      <c r="L241" s="5">
        <f t="shared" si="12"/>
        <v>6.1810000000000004E-2</v>
      </c>
      <c r="M241" s="5">
        <f t="shared" si="12"/>
        <v>6.3240000000000005E-2</v>
      </c>
      <c r="N241" s="5">
        <f t="shared" si="12"/>
        <v>6.4670000000000005E-2</v>
      </c>
      <c r="O241" s="5">
        <f t="shared" si="12"/>
        <v>6.6100000000000006E-2</v>
      </c>
    </row>
    <row r="242" spans="2:15" x14ac:dyDescent="0.3">
      <c r="B242" s="4">
        <v>46064</v>
      </c>
      <c r="C242" s="5">
        <v>-3.78E-2</v>
      </c>
      <c r="D242" s="5">
        <v>-1.0200000000000001E-2</v>
      </c>
      <c r="F242" s="5">
        <f t="shared" si="10"/>
        <v>-1.2960000000000001E-2</v>
      </c>
      <c r="G242" s="5">
        <f t="shared" si="12"/>
        <v>-1.5720000000000001E-2</v>
      </c>
      <c r="H242" s="5">
        <f t="shared" si="12"/>
        <v>-1.848E-2</v>
      </c>
      <c r="I242" s="5">
        <f t="shared" si="12"/>
        <v>-2.1240000000000002E-2</v>
      </c>
      <c r="J242" s="5">
        <f t="shared" si="12"/>
        <v>-2.4E-2</v>
      </c>
      <c r="K242" s="5">
        <f t="shared" si="12"/>
        <v>-2.6759999999999999E-2</v>
      </c>
      <c r="L242" s="5">
        <f t="shared" si="12"/>
        <v>-2.9519999999999998E-2</v>
      </c>
      <c r="M242" s="5">
        <f t="shared" si="12"/>
        <v>-3.2280000000000003E-2</v>
      </c>
      <c r="N242" s="5">
        <f t="shared" si="12"/>
        <v>-3.5040000000000002E-2</v>
      </c>
      <c r="O242" s="5">
        <f t="shared" si="12"/>
        <v>-3.78E-2</v>
      </c>
    </row>
    <row r="243" spans="2:15" x14ac:dyDescent="0.3">
      <c r="B243" s="4">
        <v>46065</v>
      </c>
      <c r="C243" s="5">
        <v>-1.4500000000000001E-2</v>
      </c>
      <c r="D243" s="5">
        <v>-8.9999999999999993E-3</v>
      </c>
      <c r="F243" s="5">
        <f t="shared" si="10"/>
        <v>-9.5499999999999995E-3</v>
      </c>
      <c r="G243" s="5">
        <f t="shared" si="12"/>
        <v>-1.01E-2</v>
      </c>
      <c r="H243" s="5">
        <f t="shared" si="12"/>
        <v>-1.065E-2</v>
      </c>
      <c r="I243" s="5">
        <f t="shared" si="12"/>
        <v>-1.12E-2</v>
      </c>
      <c r="J243" s="5">
        <f t="shared" si="12"/>
        <v>-1.175E-2</v>
      </c>
      <c r="K243" s="5">
        <f t="shared" si="12"/>
        <v>-1.2299999999999998E-2</v>
      </c>
      <c r="L243" s="5">
        <f t="shared" si="12"/>
        <v>-1.285E-2</v>
      </c>
      <c r="M243" s="5">
        <f t="shared" si="12"/>
        <v>-1.34E-2</v>
      </c>
      <c r="N243" s="5">
        <f t="shared" si="12"/>
        <v>-1.3950000000000001E-2</v>
      </c>
      <c r="O243" s="5">
        <f t="shared" si="12"/>
        <v>-1.4500000000000001E-2</v>
      </c>
    </row>
    <row r="244" spans="2:15" x14ac:dyDescent="0.3">
      <c r="B244" s="4">
        <v>46066</v>
      </c>
      <c r="C244" s="5">
        <v>8.9999999999999998E-4</v>
      </c>
      <c r="D244" s="5">
        <v>-4.2999999999999997E-2</v>
      </c>
      <c r="F244" s="5">
        <f t="shared" si="10"/>
        <v>-3.8609999999999998E-2</v>
      </c>
      <c r="G244" s="5">
        <f t="shared" si="12"/>
        <v>-3.422E-2</v>
      </c>
      <c r="H244" s="5">
        <f t="shared" si="12"/>
        <v>-2.9829999999999995E-2</v>
      </c>
      <c r="I244" s="5">
        <f t="shared" si="12"/>
        <v>-2.5439999999999997E-2</v>
      </c>
      <c r="J244" s="5">
        <f t="shared" si="12"/>
        <v>-2.1049999999999999E-2</v>
      </c>
      <c r="K244" s="5">
        <f t="shared" si="12"/>
        <v>-1.6660000000000001E-2</v>
      </c>
      <c r="L244" s="5">
        <f t="shared" si="12"/>
        <v>-1.2270000000000001E-2</v>
      </c>
      <c r="M244" s="5">
        <f t="shared" si="12"/>
        <v>-7.8799999999999964E-3</v>
      </c>
      <c r="N244" s="5">
        <f t="shared" si="12"/>
        <v>-3.4899999999999983E-3</v>
      </c>
      <c r="O244" s="5">
        <f t="shared" si="12"/>
        <v>8.9999999999999998E-4</v>
      </c>
    </row>
    <row r="245" spans="2:15" x14ac:dyDescent="0.3">
      <c r="B245" s="4">
        <v>46069</v>
      </c>
      <c r="C245" s="5">
        <v>1.29E-2</v>
      </c>
      <c r="D245" s="5">
        <v>4.8999999999999998E-3</v>
      </c>
      <c r="F245" s="5">
        <f t="shared" si="10"/>
        <v>5.7000000000000002E-3</v>
      </c>
      <c r="G245" s="5">
        <f t="shared" si="12"/>
        <v>6.5000000000000006E-3</v>
      </c>
      <c r="H245" s="5">
        <f t="shared" si="12"/>
        <v>7.2999999999999992E-3</v>
      </c>
      <c r="I245" s="5">
        <f t="shared" si="12"/>
        <v>8.0999999999999996E-3</v>
      </c>
      <c r="J245" s="5">
        <f t="shared" si="12"/>
        <v>8.8999999999999999E-3</v>
      </c>
      <c r="K245" s="5">
        <f t="shared" si="12"/>
        <v>9.7000000000000003E-3</v>
      </c>
      <c r="L245" s="5">
        <f t="shared" si="12"/>
        <v>1.0500000000000001E-2</v>
      </c>
      <c r="M245" s="5">
        <f t="shared" si="12"/>
        <v>1.1300000000000001E-2</v>
      </c>
      <c r="N245" s="5">
        <f t="shared" si="12"/>
        <v>1.21E-2</v>
      </c>
      <c r="O245" s="5">
        <f t="shared" si="12"/>
        <v>1.29E-2</v>
      </c>
    </row>
    <row r="246" spans="2:15" x14ac:dyDescent="0.3">
      <c r="B246" s="4">
        <v>46070</v>
      </c>
      <c r="C246" s="5">
        <v>-3.3000000000000002E-2</v>
      </c>
      <c r="D246" s="5">
        <v>-1.78E-2</v>
      </c>
      <c r="F246" s="5">
        <f t="shared" si="10"/>
        <v>-1.932E-2</v>
      </c>
      <c r="G246" s="5">
        <f t="shared" si="12"/>
        <v>-2.0840000000000001E-2</v>
      </c>
      <c r="H246" s="5">
        <f t="shared" si="12"/>
        <v>-2.2359999999999998E-2</v>
      </c>
      <c r="I246" s="5">
        <f t="shared" si="12"/>
        <v>-2.3880000000000002E-2</v>
      </c>
      <c r="J246" s="5">
        <f t="shared" si="12"/>
        <v>-2.5399999999999999E-2</v>
      </c>
      <c r="K246" s="5">
        <f t="shared" si="12"/>
        <v>-2.6920000000000003E-2</v>
      </c>
      <c r="L246" s="5">
        <f t="shared" si="12"/>
        <v>-2.844E-2</v>
      </c>
      <c r="M246" s="5">
        <f t="shared" si="12"/>
        <v>-2.9960000000000004E-2</v>
      </c>
      <c r="N246" s="5">
        <f t="shared" si="12"/>
        <v>-3.1480000000000001E-2</v>
      </c>
      <c r="O246" s="5">
        <f t="shared" si="12"/>
        <v>-3.3000000000000002E-2</v>
      </c>
    </row>
    <row r="247" spans="2:15" x14ac:dyDescent="0.3">
      <c r="B247" s="4">
        <v>46071</v>
      </c>
      <c r="C247" s="5">
        <v>9.7999999999999997E-3</v>
      </c>
      <c r="D247" s="5">
        <v>-1.47E-2</v>
      </c>
      <c r="F247" s="5">
        <f t="shared" si="10"/>
        <v>-1.225E-2</v>
      </c>
      <c r="G247" s="5">
        <f t="shared" si="12"/>
        <v>-9.7999999999999997E-3</v>
      </c>
      <c r="H247" s="5">
        <f t="shared" si="12"/>
        <v>-7.3499999999999989E-3</v>
      </c>
      <c r="I247" s="5">
        <f t="shared" si="12"/>
        <v>-4.8999999999999998E-3</v>
      </c>
      <c r="J247" s="5">
        <f t="shared" si="12"/>
        <v>-2.4499999999999999E-3</v>
      </c>
      <c r="K247" s="5">
        <f t="shared" si="12"/>
        <v>0</v>
      </c>
      <c r="L247" s="5">
        <f t="shared" si="12"/>
        <v>2.4499999999999982E-3</v>
      </c>
      <c r="M247" s="5">
        <f t="shared" si="12"/>
        <v>4.9000000000000007E-3</v>
      </c>
      <c r="N247" s="5">
        <f t="shared" si="12"/>
        <v>7.3500000000000006E-3</v>
      </c>
      <c r="O247" s="5">
        <f t="shared" si="12"/>
        <v>9.7999999999999997E-3</v>
      </c>
    </row>
    <row r="248" spans="2:15" x14ac:dyDescent="0.3">
      <c r="B248" s="4">
        <v>46072</v>
      </c>
      <c r="C248" s="5">
        <v>-2.1899999999999999E-2</v>
      </c>
      <c r="D248" s="5">
        <v>-2.0199999999999999E-2</v>
      </c>
      <c r="F248" s="5">
        <f t="shared" si="10"/>
        <v>-2.0369999999999999E-2</v>
      </c>
      <c r="G248" s="5">
        <f t="shared" si="12"/>
        <v>-2.0540000000000003E-2</v>
      </c>
      <c r="H248" s="5">
        <f t="shared" si="12"/>
        <v>-2.0709999999999999E-2</v>
      </c>
      <c r="I248" s="5">
        <f t="shared" si="12"/>
        <v>-2.0879999999999999E-2</v>
      </c>
      <c r="J248" s="5">
        <f t="shared" si="12"/>
        <v>-2.1049999999999999E-2</v>
      </c>
      <c r="K248" s="5">
        <f t="shared" si="12"/>
        <v>-2.1219999999999999E-2</v>
      </c>
      <c r="L248" s="5">
        <f t="shared" si="12"/>
        <v>-2.1389999999999999E-2</v>
      </c>
      <c r="M248" s="5">
        <f t="shared" si="12"/>
        <v>-2.1559999999999999E-2</v>
      </c>
      <c r="N248" s="5">
        <f t="shared" si="12"/>
        <v>-2.1729999999999999E-2</v>
      </c>
      <c r="O248" s="5">
        <f t="shared" si="12"/>
        <v>-2.1899999999999999E-2</v>
      </c>
    </row>
    <row r="249" spans="2:15" x14ac:dyDescent="0.3">
      <c r="B249" s="4">
        <v>46073</v>
      </c>
      <c r="C249" s="5">
        <v>-8.6999999999999994E-3</v>
      </c>
      <c r="D249" s="5">
        <v>-8.5000000000000006E-3</v>
      </c>
      <c r="F249" s="5">
        <f t="shared" si="10"/>
        <v>-8.5199999999999998E-3</v>
      </c>
      <c r="G249" s="5">
        <f t="shared" si="12"/>
        <v>-8.5400000000000007E-3</v>
      </c>
      <c r="H249" s="5">
        <f t="shared" si="12"/>
        <v>-8.5599999999999999E-3</v>
      </c>
      <c r="I249" s="5">
        <f t="shared" si="12"/>
        <v>-8.5800000000000008E-3</v>
      </c>
      <c r="J249" s="5">
        <f t="shared" si="12"/>
        <v>-8.6E-3</v>
      </c>
      <c r="K249" s="5">
        <f t="shared" si="12"/>
        <v>-8.6199999999999992E-3</v>
      </c>
      <c r="L249" s="5">
        <f t="shared" si="12"/>
        <v>-8.6400000000000001E-3</v>
      </c>
      <c r="M249" s="5">
        <f t="shared" si="12"/>
        <v>-8.6599999999999993E-3</v>
      </c>
      <c r="N249" s="5">
        <f t="shared" si="12"/>
        <v>-8.6800000000000002E-3</v>
      </c>
      <c r="O249" s="5">
        <f t="shared" si="12"/>
        <v>-8.6999999999999994E-3</v>
      </c>
    </row>
    <row r="250" spans="2:15" x14ac:dyDescent="0.3">
      <c r="B250" s="4">
        <v>46076</v>
      </c>
      <c r="C250" s="5">
        <v>-8.3000000000000001E-3</v>
      </c>
      <c r="D250" s="5">
        <v>-5.4000000000000003E-3</v>
      </c>
      <c r="F250" s="5">
        <f t="shared" si="10"/>
        <v>-5.6900000000000006E-3</v>
      </c>
      <c r="G250" s="5">
        <f t="shared" si="12"/>
        <v>-5.9800000000000001E-3</v>
      </c>
      <c r="H250" s="5">
        <f t="shared" si="12"/>
        <v>-6.2699999999999995E-3</v>
      </c>
      <c r="I250" s="5">
        <f t="shared" si="12"/>
        <v>-6.5599999999999999E-3</v>
      </c>
      <c r="J250" s="5">
        <f t="shared" si="12"/>
        <v>-6.8500000000000002E-3</v>
      </c>
      <c r="K250" s="5">
        <f t="shared" si="12"/>
        <v>-7.1400000000000005E-3</v>
      </c>
      <c r="L250" s="5">
        <f t="shared" si="12"/>
        <v>-7.4300000000000008E-3</v>
      </c>
      <c r="M250" s="5">
        <f t="shared" si="12"/>
        <v>-7.7199999999999994E-3</v>
      </c>
      <c r="N250" s="5">
        <f t="shared" si="12"/>
        <v>-8.0099999999999998E-3</v>
      </c>
      <c r="O250" s="5">
        <f t="shared" si="12"/>
        <v>-8.3000000000000001E-3</v>
      </c>
    </row>
    <row r="251" spans="2:15" x14ac:dyDescent="0.3">
      <c r="B251" s="4">
        <v>46077</v>
      </c>
      <c r="C251" s="5">
        <v>-2.2100000000000002E-2</v>
      </c>
      <c r="D251" s="5">
        <v>-5.2200000000000003E-2</v>
      </c>
      <c r="F251" s="5">
        <f t="shared" si="10"/>
        <v>-4.9189999999999998E-2</v>
      </c>
      <c r="G251" s="5">
        <f t="shared" si="12"/>
        <v>-4.6180000000000006E-2</v>
      </c>
      <c r="H251" s="5">
        <f t="shared" si="12"/>
        <v>-4.317E-2</v>
      </c>
      <c r="I251" s="5">
        <f t="shared" si="12"/>
        <v>-4.0160000000000001E-2</v>
      </c>
      <c r="J251" s="5">
        <f t="shared" si="12"/>
        <v>-3.7150000000000002E-2</v>
      </c>
      <c r="K251" s="5">
        <f t="shared" si="12"/>
        <v>-3.4140000000000004E-2</v>
      </c>
      <c r="L251" s="5">
        <f t="shared" si="12"/>
        <v>-3.1130000000000005E-2</v>
      </c>
      <c r="M251" s="5">
        <f t="shared" si="12"/>
        <v>-2.8119999999999999E-2</v>
      </c>
      <c r="N251" s="5">
        <f t="shared" si="12"/>
        <v>-2.511E-2</v>
      </c>
      <c r="O251" s="5">
        <f t="shared" si="12"/>
        <v>-2.2100000000000002E-2</v>
      </c>
    </row>
    <row r="252" spans="2:15" x14ac:dyDescent="0.3">
      <c r="B252" s="4">
        <v>46078</v>
      </c>
      <c r="C252" s="5">
        <v>-2.1000000000000001E-2</v>
      </c>
      <c r="D252" s="5">
        <v>-1.4999999999999999E-2</v>
      </c>
      <c r="F252" s="5">
        <f t="shared" si="10"/>
        <v>-1.5599999999999999E-2</v>
      </c>
      <c r="G252" s="5">
        <f t="shared" si="12"/>
        <v>-1.6199999999999999E-2</v>
      </c>
      <c r="H252" s="5">
        <f t="shared" si="12"/>
        <v>-1.6799999999999999E-2</v>
      </c>
      <c r="I252" s="5">
        <f t="shared" si="12"/>
        <v>-1.7399999999999999E-2</v>
      </c>
      <c r="J252" s="5">
        <f t="shared" si="12"/>
        <v>-1.8000000000000002E-2</v>
      </c>
      <c r="K252" s="5">
        <f t="shared" si="12"/>
        <v>-1.8599999999999998E-2</v>
      </c>
      <c r="L252" s="5">
        <f t="shared" si="12"/>
        <v>-1.9200000000000002E-2</v>
      </c>
      <c r="M252" s="5">
        <f t="shared" si="12"/>
        <v>-1.9800000000000002E-2</v>
      </c>
      <c r="N252" s="5">
        <f t="shared" si="12"/>
        <v>-2.0400000000000001E-2</v>
      </c>
      <c r="O252" s="5">
        <f t="shared" si="12"/>
        <v>-2.1000000000000001E-2</v>
      </c>
    </row>
    <row r="253" spans="2:15" x14ac:dyDescent="0.3">
      <c r="B253" s="4">
        <v>46079</v>
      </c>
      <c r="C253" s="5">
        <v>-1.1000000000000001E-3</v>
      </c>
      <c r="D253" s="5">
        <v>-1.4800000000000001E-2</v>
      </c>
      <c r="F253" s="5">
        <f t="shared" si="10"/>
        <v>-1.3430000000000001E-2</v>
      </c>
      <c r="G253" s="5">
        <f t="shared" si="12"/>
        <v>-1.2060000000000001E-2</v>
      </c>
      <c r="H253" s="5">
        <f t="shared" si="12"/>
        <v>-1.069E-2</v>
      </c>
      <c r="I253" s="5">
        <f t="shared" si="12"/>
        <v>-9.3200000000000002E-3</v>
      </c>
      <c r="J253" s="5">
        <f t="shared" si="12"/>
        <v>-7.9500000000000005E-3</v>
      </c>
      <c r="K253" s="5">
        <f t="shared" si="12"/>
        <v>-6.5800000000000008E-3</v>
      </c>
      <c r="L253" s="5">
        <f t="shared" si="12"/>
        <v>-5.2100000000000011E-3</v>
      </c>
      <c r="M253" s="5">
        <f t="shared" si="12"/>
        <v>-3.8399999999999997E-3</v>
      </c>
      <c r="N253" s="5">
        <f t="shared" si="12"/>
        <v>-2.47E-3</v>
      </c>
      <c r="O253" s="5">
        <f t="shared" si="12"/>
        <v>-1.1000000000000001E-3</v>
      </c>
    </row>
    <row r="254" spans="2:15" x14ac:dyDescent="0.3">
      <c r="B254" s="4">
        <v>46080</v>
      </c>
      <c r="C254" s="5">
        <v>-1.7299999999999999E-2</v>
      </c>
      <c r="D254" s="5">
        <v>-8.0000000000000004E-4</v>
      </c>
      <c r="F254" s="5">
        <f t="shared" si="10"/>
        <v>-2.4499999999999999E-3</v>
      </c>
      <c r="G254" s="5">
        <f t="shared" si="12"/>
        <v>-4.1000000000000003E-3</v>
      </c>
      <c r="H254" s="5">
        <f t="shared" si="12"/>
        <v>-5.749999999999999E-3</v>
      </c>
      <c r="I254" s="5">
        <f t="shared" si="12"/>
        <v>-7.4000000000000003E-3</v>
      </c>
      <c r="J254" s="5">
        <f t="shared" si="12"/>
        <v>-9.049999999999999E-3</v>
      </c>
      <c r="K254" s="5">
        <f t="shared" si="12"/>
        <v>-1.0699999999999999E-2</v>
      </c>
      <c r="L254" s="5">
        <f t="shared" si="12"/>
        <v>-1.235E-2</v>
      </c>
      <c r="M254" s="5">
        <f t="shared" si="12"/>
        <v>-1.4E-2</v>
      </c>
      <c r="N254" s="5">
        <f t="shared" si="12"/>
        <v>-1.5650000000000001E-2</v>
      </c>
      <c r="O254" s="5">
        <f t="shared" si="12"/>
        <v>-1.7299999999999999E-2</v>
      </c>
    </row>
    <row r="255" spans="2:15" x14ac:dyDescent="0.3">
      <c r="B255" s="3" t="s">
        <v>48</v>
      </c>
      <c r="C255" s="31">
        <f>_xlfn.STDEV.S(C6:C254)</f>
        <v>2.4151421097228939E-2</v>
      </c>
      <c r="D255" s="31">
        <f>_xlfn.STDEV.S(D6:D254)</f>
        <v>2.2070620086883874E-2</v>
      </c>
      <c r="E255" s="31"/>
    </row>
    <row r="256" spans="2:15" x14ac:dyDescent="0.3">
      <c r="B256" s="3" t="s">
        <v>46</v>
      </c>
      <c r="C256" s="31">
        <f>_xlfn.COVARIANCE.S(C6:C254,D6:D254)</f>
        <v>2.8847778938333998E-4</v>
      </c>
      <c r="D256" s="97"/>
      <c r="E256" s="98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4:15" x14ac:dyDescent="0.3">
      <c r="D257" s="92" t="s">
        <v>40</v>
      </c>
      <c r="E257" s="93"/>
      <c r="F257" s="31">
        <f>SQRT(POWER(F5*$C255,2)+POWER((1-F5)*$D255,2)+2*F5*(1-F5)*$C256)</f>
        <v>2.1267812605554978E-2</v>
      </c>
      <c r="G257" s="31">
        <f t="shared" ref="G257:O257" si="13">SQRT(POWER(G5*$C255,2)+POWER((1-G5)*$D255,2)+2*G5*(1-G5)*$C256)</f>
        <v>2.067356746417549E-2</v>
      </c>
      <c r="H257" s="31">
        <f t="shared" si="13"/>
        <v>2.0306203166323311E-2</v>
      </c>
      <c r="I257" s="31">
        <f t="shared" si="13"/>
        <v>2.0178115348900984E-2</v>
      </c>
      <c r="J257" s="31">
        <f t="shared" si="13"/>
        <v>2.0293835214184607E-2</v>
      </c>
      <c r="K257" s="31">
        <f t="shared" si="13"/>
        <v>2.0649264224973637E-2</v>
      </c>
      <c r="L257" s="31">
        <f t="shared" si="13"/>
        <v>2.1232367626584751E-2</v>
      </c>
      <c r="M257" s="31">
        <f t="shared" si="13"/>
        <v>2.2025070117788124E-2</v>
      </c>
      <c r="N257" s="31">
        <f t="shared" si="13"/>
        <v>2.3005715572915652E-2</v>
      </c>
      <c r="O257" s="31">
        <f t="shared" si="13"/>
        <v>2.4151421097228939E-2</v>
      </c>
    </row>
    <row r="258" spans="4:15" x14ac:dyDescent="0.3">
      <c r="D258" s="92" t="s">
        <v>44</v>
      </c>
      <c r="E258" s="93"/>
      <c r="F258" s="30" cm="1">
        <f t="array" ref="F258">GEOMEAN(1+F6:F254)-1</f>
        <v>2.7479179022682487E-4</v>
      </c>
      <c r="G258" s="30" cm="1">
        <f t="array" ref="G258">GEOMEAN(1+G6:G254)-1</f>
        <v>1.9082357234334602E-4</v>
      </c>
      <c r="H258" s="30" cm="1">
        <f t="array" ref="H258">GEOMEAN(1+H6:H254)-1</f>
        <v>1.0201791440844765E-4</v>
      </c>
      <c r="I258" s="30" cm="1">
        <f t="array" ref="I258">GEOMEAN(1+I6:I254)-1</f>
        <v>8.3805031485528758E-6</v>
      </c>
      <c r="J258" s="30" cm="1">
        <f t="array" ref="J258">GEOMEAN(1+J6:J254)-1</f>
        <v>-9.0083487967462794E-5</v>
      </c>
      <c r="K258" s="30" cm="1">
        <f t="array" ref="K258">GEOMEAN(1+K6:K254)-1</f>
        <v>-1.933693915244783E-4</v>
      </c>
      <c r="L258" s="30" cm="1">
        <f t="array" ref="L258">GEOMEAN(1+L6:L254)-1</f>
        <v>-3.0147303946626014E-4</v>
      </c>
      <c r="M258" s="30" cm="1">
        <f t="array" ref="M258">GEOMEAN(1+M6:M254)-1</f>
        <v>-4.1439075689153615E-4</v>
      </c>
      <c r="N258" s="30" cm="1">
        <f t="array" ref="N258">GEOMEAN(1+N6:N254)-1</f>
        <v>-5.3211935631969354E-4</v>
      </c>
      <c r="O258" s="30" cm="1">
        <f t="array" ref="O258">GEOMEAN(1+O6:O254)-1</f>
        <v>-6.5465613241266762E-4</v>
      </c>
    </row>
    <row r="259" spans="4:15" x14ac:dyDescent="0.3">
      <c r="D259" s="92" t="s">
        <v>45</v>
      </c>
      <c r="E259" s="93"/>
      <c r="F259" s="46">
        <f>POWER((1+F258),248)-1</f>
        <v>7.0514102151370661E-2</v>
      </c>
      <c r="G259" s="46">
        <f t="shared" ref="G259:O259" si="14">POWER((1+G258),248)-1</f>
        <v>4.8457179992631882E-2</v>
      </c>
      <c r="H259" s="46">
        <f t="shared" si="14"/>
        <v>2.5621891796510976E-2</v>
      </c>
      <c r="I259" s="46">
        <f t="shared" si="14"/>
        <v>2.0805173510534125E-3</v>
      </c>
      <c r="J259" s="46">
        <f t="shared" si="14"/>
        <v>-2.2093983624617564E-2</v>
      </c>
      <c r="K259" s="46">
        <f t="shared" si="14"/>
        <v>-4.6828321545491991E-2</v>
      </c>
      <c r="L259" s="46">
        <f t="shared" si="14"/>
        <v>-7.2049219555264332E-2</v>
      </c>
      <c r="M259" s="46">
        <f t="shared" si="14"/>
        <v>-9.7683746592395537E-2</v>
      </c>
      <c r="N259" s="46">
        <f t="shared" si="14"/>
        <v>-0.12365963899938681</v>
      </c>
      <c r="O259" s="46">
        <f t="shared" si="14"/>
        <v>-0.14990560889151039</v>
      </c>
    </row>
  </sheetData>
  <mergeCells count="5">
    <mergeCell ref="F4:O4"/>
    <mergeCell ref="D256:E256"/>
    <mergeCell ref="D257:E257"/>
    <mergeCell ref="D258:E258"/>
    <mergeCell ref="D259:E2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54F0-DF0D-408B-BEDB-A0B50C80834B}">
  <dimension ref="B3:C13"/>
  <sheetViews>
    <sheetView zoomScale="89" workbookViewId="0">
      <selection activeCell="O22" sqref="O22"/>
    </sheetView>
  </sheetViews>
  <sheetFormatPr defaultRowHeight="14.4" x14ac:dyDescent="0.3"/>
  <cols>
    <col min="1" max="1" width="8.88671875" style="2" customWidth="1"/>
    <col min="2" max="2" width="12.21875" style="2" bestFit="1" customWidth="1"/>
    <col min="3" max="3" width="20.109375" style="2" bestFit="1" customWidth="1"/>
    <col min="4" max="16384" width="8.88671875" style="2"/>
  </cols>
  <sheetData>
    <row r="3" spans="2:3" x14ac:dyDescent="0.3">
      <c r="B3" s="68" t="s">
        <v>40</v>
      </c>
      <c r="C3" s="68" t="s">
        <v>45</v>
      </c>
    </row>
    <row r="4" spans="2:3" x14ac:dyDescent="0.3">
      <c r="B4" s="34">
        <v>2.1267812605554978E-2</v>
      </c>
      <c r="C4" s="34">
        <v>7.0514102151370661E-2</v>
      </c>
    </row>
    <row r="5" spans="2:3" x14ac:dyDescent="0.3">
      <c r="B5" s="34">
        <v>2.067356746417549E-2</v>
      </c>
      <c r="C5" s="34">
        <v>4.8457179992631882E-2</v>
      </c>
    </row>
    <row r="6" spans="2:3" x14ac:dyDescent="0.3">
      <c r="B6" s="34">
        <v>2.0306203166323311E-2</v>
      </c>
      <c r="C6" s="34">
        <v>2.5621891796510976E-2</v>
      </c>
    </row>
    <row r="7" spans="2:3" x14ac:dyDescent="0.3">
      <c r="B7" s="34">
        <v>2.0178115348900984E-2</v>
      </c>
      <c r="C7" s="34">
        <v>2.0805173510534125E-3</v>
      </c>
    </row>
    <row r="8" spans="2:3" x14ac:dyDescent="0.3">
      <c r="B8" s="34">
        <v>2.0293835214184607E-2</v>
      </c>
      <c r="C8" s="34">
        <v>-2.2093983624617564E-2</v>
      </c>
    </row>
    <row r="9" spans="2:3" x14ac:dyDescent="0.3">
      <c r="B9" s="34">
        <v>2.0649264224973637E-2</v>
      </c>
      <c r="C9" s="34">
        <v>-4.6828321545491991E-2</v>
      </c>
    </row>
    <row r="10" spans="2:3" x14ac:dyDescent="0.3">
      <c r="B10" s="34">
        <v>2.1232367626584751E-2</v>
      </c>
      <c r="C10" s="34">
        <v>-7.2049219555264332E-2</v>
      </c>
    </row>
    <row r="11" spans="2:3" x14ac:dyDescent="0.3">
      <c r="B11" s="34">
        <v>2.2025070117788124E-2</v>
      </c>
      <c r="C11" s="34">
        <v>-9.7683746592395537E-2</v>
      </c>
    </row>
    <row r="12" spans="2:3" x14ac:dyDescent="0.3">
      <c r="B12" s="34">
        <v>2.3005715572915652E-2</v>
      </c>
      <c r="C12" s="34">
        <v>-0.12365963899938681</v>
      </c>
    </row>
    <row r="13" spans="2:3" x14ac:dyDescent="0.3">
      <c r="B13" s="34">
        <v>2.4151421097228939E-2</v>
      </c>
      <c r="C13" s="34">
        <v>-0.14990560889151039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 Data</vt:lpstr>
      <vt:lpstr>CAPM</vt:lpstr>
      <vt:lpstr>Risk&amp;Return</vt:lpstr>
      <vt:lpstr>ThreePF</vt:lpstr>
      <vt:lpstr>OtherPF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Joshi</dc:creator>
  <cp:lastModifiedBy>Sumit Joshi</cp:lastModifiedBy>
  <dcterms:created xsi:type="dcterms:W3CDTF">2026-02-27T15:08:00Z</dcterms:created>
  <dcterms:modified xsi:type="dcterms:W3CDTF">2026-03-23T04:54:48Z</dcterms:modified>
</cp:coreProperties>
</file>